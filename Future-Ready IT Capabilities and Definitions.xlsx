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pmgus-my.sharepoint.com/personal/adamschmidt_kpmg_com/Documents/Future of IT/"/>
    </mc:Choice>
  </mc:AlternateContent>
  <xr:revisionPtr revIDLastSave="131" documentId="8_{CAF60097-F8E6-421C-BB9C-A9BC5536A511}" xr6:coauthVersionLast="47" xr6:coauthVersionMax="47" xr10:uidLastSave="{6EDA9A87-162A-4286-8AD9-6A9A93FAF717}"/>
  <bookViews>
    <workbookView xWindow="-110" yWindow="-110" windowWidth="19420" windowHeight="11500" xr2:uid="{09036F8E-72C5-4C9A-A269-14DA3EE7F3D5}"/>
  </bookViews>
  <sheets>
    <sheet name="Sheet1" sheetId="1" r:id="rId1"/>
  </sheets>
  <definedNames>
    <definedName name="_xlnm._FilterDatabase" localSheetId="0" hidden="1">Sheet1!$A$1:$F$151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5" i="1"/>
  <c r="A26" i="1" s="1"/>
  <c r="A27" i="1" s="1"/>
  <c r="A28" i="1" s="1"/>
  <c r="A29" i="1" s="1"/>
  <c r="A30" i="1" s="1"/>
  <c r="A31" i="1" s="1"/>
  <c r="A32" i="1" s="1"/>
  <c r="A33" i="1" s="1"/>
  <c r="A34" i="1" s="1"/>
  <c r="A35" i="1" s="1"/>
  <c r="A36" i="1" s="1"/>
  <c r="A37" i="1" s="1"/>
  <c r="A38" i="1" s="1"/>
  <c r="A39" i="1" s="1"/>
  <c r="A40" i="1" s="1"/>
  <c r="A41" i="1" s="1"/>
  <c r="A42" i="1" s="1"/>
  <c r="A43" i="1" s="1"/>
  <c r="A44" i="1" s="1"/>
  <c r="A46" i="1"/>
  <c r="A47" i="1"/>
  <c r="A48" i="1" s="1"/>
  <c r="A49" i="1" s="1"/>
  <c r="A50" i="1" s="1"/>
  <c r="A51" i="1" s="1"/>
  <c r="A52" i="1" s="1"/>
  <c r="A53" i="1" s="1"/>
  <c r="A54" i="1" s="1"/>
  <c r="A55" i="1" s="1"/>
  <c r="A56" i="1" s="1"/>
  <c r="A57" i="1" s="1"/>
  <c r="A58" i="1" s="1"/>
  <c r="A59" i="1" s="1"/>
  <c r="A60" i="1" s="1"/>
  <c r="A61" i="1" s="1"/>
  <c r="A62" i="1" s="1"/>
  <c r="A63" i="1" s="1"/>
  <c r="A64" i="1" s="1"/>
  <c r="A65" i="1" s="1"/>
  <c r="A67" i="1"/>
  <c r="A68" i="1" s="1"/>
  <c r="A69" i="1" s="1"/>
  <c r="A70" i="1" s="1"/>
  <c r="A71" i="1" s="1"/>
  <c r="A72" i="1" s="1"/>
  <c r="A73" i="1" s="1"/>
  <c r="A74" i="1" s="1"/>
  <c r="A75" i="1" s="1"/>
  <c r="A76" i="1" s="1"/>
  <c r="A77" i="1" s="1"/>
  <c r="A78" i="1" s="1"/>
  <c r="A79" i="1" s="1"/>
  <c r="A80" i="1" s="1"/>
  <c r="A81" i="1" s="1"/>
  <c r="A83" i="1"/>
  <c r="A84" i="1"/>
  <c r="A85" i="1"/>
  <c r="A86" i="1" s="1"/>
  <c r="A87" i="1" s="1"/>
  <c r="A88" i="1" s="1"/>
  <c r="A89" i="1" s="1"/>
  <c r="A90" i="1" s="1"/>
  <c r="A92" i="1"/>
  <c r="A93" i="1"/>
  <c r="A94" i="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C3" i="1"/>
  <c r="C4" i="1" s="1"/>
  <c r="C5" i="1" s="1"/>
  <c r="C7" i="1"/>
  <c r="C8" i="1"/>
  <c r="C9" i="1"/>
  <c r="C11" i="1"/>
  <c r="C13" i="1"/>
  <c r="C14" i="1"/>
  <c r="C15" i="1" s="1"/>
  <c r="C16" i="1" s="1"/>
  <c r="C17" i="1" s="1"/>
  <c r="C18" i="1" s="1"/>
  <c r="C19" i="1" s="1"/>
  <c r="C21" i="1"/>
  <c r="C22" i="1"/>
  <c r="C23" i="1"/>
  <c r="C25" i="1"/>
  <c r="C26" i="1"/>
  <c r="C27" i="1"/>
  <c r="C28" i="1"/>
  <c r="C30" i="1"/>
  <c r="C31" i="1"/>
  <c r="C32" i="1" s="1"/>
  <c r="C33" i="1" s="1"/>
  <c r="C35" i="1"/>
  <c r="C36" i="1"/>
  <c r="C37" i="1"/>
  <c r="C38" i="1"/>
  <c r="C40" i="1"/>
  <c r="C41" i="1"/>
  <c r="C42" i="1" s="1"/>
  <c r="C43" i="1" s="1"/>
  <c r="C44" i="1" s="1"/>
  <c r="C46" i="1"/>
  <c r="C48" i="1"/>
  <c r="C50" i="1"/>
  <c r="C52" i="1"/>
  <c r="C53" i="1"/>
  <c r="C54" i="1"/>
  <c r="C55" i="1"/>
  <c r="C57" i="1"/>
  <c r="C58" i="1"/>
  <c r="C60" i="1"/>
  <c r="C62" i="1"/>
  <c r="C63" i="1" s="1"/>
  <c r="C65" i="1"/>
  <c r="C67" i="1"/>
  <c r="C68" i="1" s="1"/>
  <c r="C69" i="1" s="1"/>
  <c r="C71" i="1"/>
  <c r="C72" i="1"/>
  <c r="C73" i="1"/>
  <c r="C75" i="1"/>
  <c r="C76" i="1"/>
  <c r="C77" i="1"/>
  <c r="C79" i="1"/>
  <c r="C80" i="1"/>
  <c r="C81" i="1"/>
  <c r="C83" i="1"/>
  <c r="C84" i="1" s="1"/>
  <c r="C85" i="1" s="1"/>
  <c r="C87" i="1"/>
  <c r="C88" i="1"/>
  <c r="C89" i="1"/>
  <c r="C90" i="1"/>
  <c r="C92" i="1"/>
  <c r="C93" i="1" s="1"/>
  <c r="C94" i="1" s="1"/>
  <c r="C95" i="1" s="1"/>
  <c r="C97" i="1"/>
  <c r="C98" i="1"/>
  <c r="C99" i="1"/>
  <c r="C100" i="1"/>
  <c r="C102" i="1"/>
  <c r="C103" i="1" s="1"/>
  <c r="C104" i="1" s="1"/>
  <c r="C105" i="1" s="1"/>
  <c r="C107" i="1"/>
  <c r="C108" i="1"/>
  <c r="C109" i="1"/>
  <c r="C110" i="1"/>
  <c r="C111" i="1"/>
  <c r="C113" i="1"/>
  <c r="C114" i="1"/>
  <c r="C115" i="1"/>
  <c r="C117" i="1"/>
  <c r="C118" i="1" s="1"/>
  <c r="C119" i="1" s="1"/>
  <c r="C120" i="1" s="1"/>
  <c r="C121" i="1" s="1"/>
  <c r="C123" i="1"/>
  <c r="C124" i="1"/>
  <c r="C126" i="1"/>
  <c r="C127" i="1"/>
  <c r="C128" i="1"/>
  <c r="C129" i="1"/>
  <c r="C131" i="1"/>
  <c r="C132" i="1"/>
  <c r="C133" i="1"/>
  <c r="C135" i="1"/>
  <c r="C136" i="1" s="1"/>
  <c r="C137" i="1" s="1"/>
  <c r="C138" i="1" s="1"/>
  <c r="C139" i="1" s="1"/>
  <c r="C141" i="1"/>
  <c r="C142" i="1"/>
  <c r="C143" i="1"/>
  <c r="C144" i="1"/>
  <c r="C145" i="1" s="1"/>
  <c r="C146" i="1" s="1"/>
  <c r="C147" i="1" s="1"/>
  <c r="C148" i="1" s="1"/>
  <c r="C150" i="1"/>
  <c r="C151"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2" i="1"/>
</calcChain>
</file>

<file path=xl/sharedStrings.xml><?xml version="1.0" encoding="utf-8"?>
<sst xmlns="http://schemas.openxmlformats.org/spreadsheetml/2006/main" count="496" uniqueCount="238">
  <si>
    <t>L1 Capability</t>
  </si>
  <si>
    <t>L2 Capability</t>
  </si>
  <si>
    <t>L3 Capability &amp; Definition</t>
  </si>
  <si>
    <t>Align</t>
  </si>
  <si>
    <t>Technology Experience Management</t>
  </si>
  <si>
    <t>Technology Experience Strategy: This involves creating and maintaining a clear vision and strategy for the technology experience, ensuring it aligns with the overall business objectives and user needs. It includes defining key performance indicators (KPIs) and metrics to measure success and drive continuous improvement.</t>
  </si>
  <si>
    <t>User Journey and Persona Management: This capability focuses on understanding and mapping the end-to-end user journeys and creating detailed user personas. It involves identifying pain points, moments of truth, and opportunities for improvement in the user's interaction with technology.</t>
  </si>
  <si>
    <t>Experience Measurement and Analytics: This involves collecting, analyzing, and reporting on user experience data from various sources. It includes using tools and techniques like surveys, user feedback, and analytics to measure user satisfaction, identify trends, and derive actionable insights.</t>
  </si>
  <si>
    <t>Continuous Experience Improvement: This capability is about using the insights gained from experience measurement to drive a cycle of continuous improvement. It involves prioritizing and implementing changes to enhance user satisfaction, productivity, and overall technology experience.</t>
  </si>
  <si>
    <t>Strategy &amp; Investment Management</t>
  </si>
  <si>
    <t>Current State Analysis: This involves a thorough assessment of the current IT landscape, including capabilities, technologies, processes, and performance. The goal is to identify strengths, weaknesses, opportunities, and threats to inform strategic planning.</t>
  </si>
  <si>
    <t>Strategic Priority Definition: This capability focuses on defining and prioritizing strategic IT initiatives that align with and support the overall business strategy. It involves collaborating with business stakeholders to understand their needs and translate them into actionable IT priorities.</t>
  </si>
  <si>
    <t>Value Stream Management: This involves identifying, mapping, and optimizing the end-to-end value streams that deliver products and services to customers. The goal is to maximize value, minimize waste, and improve flow and efficiency across the organization.</t>
  </si>
  <si>
    <t>Investment Management: This capability focuses on managing the IT investment portfolio to ensure it aligns with strategic priorities and delivers maximum value. It includes processes for evaluating, prioritizing, and funding IT initiatives, as well as tracking their performance and ROI.</t>
  </si>
  <si>
    <t>Product &amp; Service Lifecycle Management</t>
  </si>
  <si>
    <t>Product Portfolio Management: This involves managing the entire lifecycle of IT products from conception to retirement. It includes strategic planning, roadmap development, and performance monitoring to ensure the product portfolio aligns with business goals and delivers value.</t>
  </si>
  <si>
    <t>Service Portfolio Management: This capability focuses on managing the portfolio of IT services offered to the business. It includes defining service offerings, managing service level agreements (SLAs), and ensuring the service portfolio meets the needs of the business in a cost-effective manner.</t>
  </si>
  <si>
    <t>Enterprise Architecture &amp; IT Operating Model Management</t>
  </si>
  <si>
    <t>Vision Development: This involves creating a long-term vision for the enterprise architecture that supports the business strategy. It includes defining architectural principles, standards, and guidelines to ensure consistency and alignment across the organization.</t>
  </si>
  <si>
    <t>Architecture Component: This capability focuses on managing the individual components of the enterprise architecture, such as applications, data, and technology. It includes processes for defining, cataloging, and maintaining these components to ensure their integrity and reusability.</t>
  </si>
  <si>
    <t>Implementation Planning: This involves developing a roadmap and plan for implementing the enterprise architecture vision. It includes prioritizing architectural initiatives, defining project scope, and estimating resource requirements to ensure a smooth and successful implementation.</t>
  </si>
  <si>
    <t>Architecture Services Provisioning: This capability focuses on providing architectural services and guidance to project teams and other stakeholders. It includes activities like solution architecture reviews, design consultations, and compliance checks to ensure adherence to architectural standards.</t>
  </si>
  <si>
    <t>IT Operating Model Design: This involves designing and maintaining the IT operating model, which defines how the IT organization is structured and governed. It includes defining roles and responsibilities, processes, and governance structures to ensure the IT organization operates efficiently and effectively.</t>
  </si>
  <si>
    <t>IT Process Methodology Management: This capability focuses on defining, implementing, and managing the IT processes and methodologies used across the organization. It includes selecting and tailoring frameworks like ITIL, Agile, or DevOps to fit the organization's needs and culture.</t>
  </si>
  <si>
    <t>IT Performance Management: This involves measuring, monitoring, and managing the performance of the IT organization. It includes defining and tracking key performance indicators (KPIs) to ensure the IT organization is meeting its goals and delivering value to the business.</t>
  </si>
  <si>
    <t>IT Governance Management: This capability focuses on establishing and maintaining the IT governance framework. It includes defining decision-making rights, accountability, and controls to ensure that IT activities align with business objectives and comply with policies and regulations.</t>
  </si>
  <si>
    <t>IT Vendor Management</t>
  </si>
  <si>
    <t>Vendor Strategy: This involves developing a strategy for how the organization will engage with and manage its IT vendors. It includes defining the criteria for vendor selection, the types of relationships to be established, and the governance model for overseeing vendor performance.</t>
  </si>
  <si>
    <t>Vendor Selection: This capability focuses on the process of selecting new IT vendors. It includes activities such as defining requirements, issuing requests for proposals (RFPs), evaluating vendor responses, and negotiating contracts.</t>
  </si>
  <si>
    <t>Vendor Review: This involves regularly reviewing the performance of existing IT vendors against contractual obligations and service level agreements (SLAs). It includes performance monitoring, issue resolution, and relationship management.</t>
  </si>
  <si>
    <t>Vendor Change Scanning: This capability focuses on monitoring the vendor landscape for changes that could impact the organization. This includes tracking market trends, new technologies, and changes in vendor financial stability or strategic direction.</t>
  </si>
  <si>
    <t>Define</t>
  </si>
  <si>
    <t>IT Portfolio Management</t>
  </si>
  <si>
    <t>Portfolio Idea Management: This involves the collection, evaluation, and prioritization of new ideas and proposals for the IT portfolio. The goal is to ensure a steady stream of valuable initiatives that align with strategic objectives.</t>
  </si>
  <si>
    <t>Portfolio Dependency Management: This capability focuses on identifying and managing the dependencies between different projects and initiatives within the IT portfolio. It aims to minimize risks and ensure smooth execution by coordinating interdependent activities.</t>
  </si>
  <si>
    <t>Portfolio Backlog Management: This involves managing and prioritizing the backlog of approved IT projects and initiatives. The goal is to ensure that the most valuable work is being done at the right time, based on business priorities and resource availability.</t>
  </si>
  <si>
    <t>Portfolio Roadmap Management: This capability focuses on creating and maintaining a strategic roadmap for the IT portfolio. It provides a long-term view of how the portfolio will evolve to support the business strategy.</t>
  </si>
  <si>
    <t>Portfolio Execution Monitoring: This involves tracking the execution and performance of the projects and initiatives within the IT portfolio. It includes monitoring progress against plans, managing risks and issues, and reporting on overall portfolio health to stakeholders.</t>
  </si>
  <si>
    <t>IT Program/Increment Management</t>
  </si>
  <si>
    <t>Program Idea Management: This involves the intake and initial assessment of ideas and requests at the program or increment level. It includes a lightweight process for evaluating feasibility and alignment before committing to further analysis.</t>
  </si>
  <si>
    <t>Program Dependency Management: This capability focuses on identifying, tracking, and resolving dependencies between different teams and workstreams within a program or increment. The goal is to ensure smooth integration and delivery of the overall solution.</t>
  </si>
  <si>
    <t>Program Backlog Management: This involves managing and prioritizing the backlog of features and epics for a specific program or Agile Release Train (ART). It ensures that the development teams are working on the highest-priority items in each Program Increment (PI).</t>
  </si>
  <si>
    <t>Program Roadmap Management: This capability focuses on creating and communicating the roadmap for a specific program. It outlines the planned sequence of features and capabilities to be delivered over multiple increments or releases.</t>
  </si>
  <si>
    <t>Program Execution Monitoring: This involves tracking the progress of a program or increment against its objectives and commitments. It includes monitoring key metrics, managing risks, and facilitating regular sync-ups and reviews to ensure the program stays on track.</t>
  </si>
  <si>
    <t>IT Product/Team Management</t>
  </si>
  <si>
    <t>Team Idea Management: This involves the process of generating, capturing, and evaluating new ideas for features or improvements at the team level. It includes brainstorming, user feedback collection, and initial vetting of ideas for the product backlog.</t>
  </si>
  <si>
    <t>Team Dependency Management: This capability focuses on identifying and managing dependencies that the team has on other teams or external services. It involves clear communication and coordination to ensure that dependent work is completed in a timely manner.</t>
  </si>
  <si>
    <t>Team Backlog Management: This involves the creation, refinement, and prioritization of user stories and other work items in the team's backlog. The Product Owner is typically responsible for this, ensuring the backlog is always ready for the next sprint.</t>
  </si>
  <si>
    <t>Team Roadmap Management: This capability focuses on providing the team with a clear, short-to-mid-term view of the product's direction. It helps the team understand how their current work contributes to the larger product vision and goals.</t>
  </si>
  <si>
    <t>Team Execution Monitoring: This involves the daily tracking of progress during a sprint or iteration. It includes daily stand-ups, burndown charts, and other agile metrics to ensure the team is on track to meet its sprint goals.</t>
  </si>
  <si>
    <t>Solution Architecture</t>
  </si>
  <si>
    <t>Architectural Strategy: This involves defining the overall technical strategy and architectural vision for a specific solution. It ensures the solution is designed to be scalable, reliable, and aligned with enterprise architecture standards and business goals.</t>
  </si>
  <si>
    <t>Technical Feasibility Analysis: This capability focuses on assessing the technical feasibility of a proposed solution. It involves evaluating different technology options, identifying technical risks, and ensuring the proposed architecture is viable and can be implemented within given constraints.</t>
  </si>
  <si>
    <t>Solution Blueprint: This involves creating the detailed design and blueprint for the solution. It includes defining the system's components, their interfaces, and how they will interact to meet the functional and non-functional requirements.</t>
  </si>
  <si>
    <t>Integration Architecture Management: This capability focuses on designing how the solution will integrate with other existing systems and applications. It includes defining APIs, data flows, and integration patterns to ensure seamless interoperability.</t>
  </si>
  <si>
    <t>Risk &amp; Compliance Management: This involves identifying and mitigating architectural risks and ensuring the solution complies with all relevant security, legal, and regulatory requirements. It includes conducting security reviews and privacy impact assessments.</t>
  </si>
  <si>
    <t>Innovation and Emerging Technologies: This capability focuses on researching and evaluating new and emerging technologies to identify opportunities for innovation. It involves prototyping and experimenting with new tools and platforms to drive continuous improvement and competitive advantage.</t>
  </si>
  <si>
    <t>Change</t>
  </si>
  <si>
    <t>Device &amp; Endpoint Management</t>
  </si>
  <si>
    <t>Hardware Management: This involves managing the lifecycle of physical devices and endpoints, including procurement, configuration, deployment, maintenance, and disposal.</t>
  </si>
  <si>
    <t>Remote Management: This capability focuses on managing and securing devices and endpoints remotely. It includes software distribution, patch management, and remote troubleshooting to ensure devices are up-to-date and secure, regardless of their location.</t>
  </si>
  <si>
    <t>Network Management</t>
  </si>
  <si>
    <t>Hardware Management: This involves managing the physical components of the network, such as routers, switches, and firewalls. It includes installation, configuration, maintenance, and lifecycle management of all network hardware.</t>
  </si>
  <si>
    <t>Remote Management: This capability focuses on the remote monitoring and management of network infrastructure. It includes performance monitoring, fault detection, and remote configuration to ensure network stability and performance.</t>
  </si>
  <si>
    <t>Hosting Environment Management</t>
  </si>
  <si>
    <t>Manage Virtual Hosting Environments: This involves the creation, configuration, and management of virtualized servers and environments, such as virtual machines and containers. It includes resource allocation, performance monitoring, and ensuring high availability.</t>
  </si>
  <si>
    <t>Manage Physical Hosting Infrastructure: This capability focuses on the management of the physical data center infrastructure, including servers, storage, and cooling. It covers racking and stacking hardware, managing cabling, and ensuring the physical security of the data center.</t>
  </si>
  <si>
    <t>Code &amp; Configuration Management</t>
  </si>
  <si>
    <t>Mainline &amp; Branch Management: This involves managing the source code repository, including the creation and merging of branches. The goal is to ensure a stable mainline while allowing for parallel development and experimentation.</t>
  </si>
  <si>
    <t>Code Development: This is the core activity of writing, testing, and debugging code. It includes adhering to coding standards, participating in code reviews, and ensuring the developed code meets the specified requirements.</t>
  </si>
  <si>
    <t>Unit Testing &amp; Debugging: This capability focuses on the testing of individual components or units of code to ensure they function correctly. It includes writing and executing unit tests and using debugging tools to identify and fix defects.</t>
  </si>
  <si>
    <t>Low Code/ No Code Configuration Management: This involves using low-code or no-code platforms to build and configure applications. It empowers citizen developers to create business applications with minimal coding, accelerating development and innovation.</t>
  </si>
  <si>
    <t>Peer Review: This is the process of having other developers review code to identify potential defects, improve code quality, and share knowledge. It is a critical practice for maintaining high standards of software development.</t>
  </si>
  <si>
    <t>API &amp; Integration Management</t>
  </si>
  <si>
    <t>API Design and Development: This involves designing and building Application Programming Interfaces (APIs) that are secure, scalable, and easy to use. It includes defining the API specification, implementing the API logic, and documenting its usage.</t>
  </si>
  <si>
    <t>Data Mapping: This capability focuses on mapping data fields from one system to another. It is a critical step in any data integration project to ensure that data is correctly transformed and interpreted as it moves between systems.</t>
  </si>
  <si>
    <t>Integration Review: This involves reviewing and testing integrations between different systems and applications. The goal is to ensure that data flows correctly and that the integrated solution meets the business requirements.</t>
  </si>
  <si>
    <t>Data Engineering &amp; Analytics Management</t>
  </si>
  <si>
    <t>Data Engineering: This capability focuses on building and maintaining the infrastructure and pipelines for data processing. It includes data extraction, transformation, and loading (ETL) processes to make data available for analysis.</t>
  </si>
  <si>
    <t>Analytics Model Management: This involves managing the lifecycle of analytical models, from development and validation to deployment and monitoring. It ensures that models are accurate, performant, and delivering business value.</t>
  </si>
  <si>
    <t>User Interface &amp; Data Visualization Design</t>
  </si>
  <si>
    <t>User Interface Design: This involves designing the visual layout and interactive elements of a user interface. The goal is to create an interface that is intuitive, easy to use, and aesthetically pleasing.</t>
  </si>
  <si>
    <t>Data Visualization Design: This capability focuses on designing effective and compelling visualizations of data. It includes choosing the right chart types, colors, and layouts to communicate insights clearly and effectively.</t>
  </si>
  <si>
    <t>Experience Optimization: This involves using data and user feedback to continuously improve the user experience. It includes A/B testing, usability testing, and other techniques to optimize the design of interfaces and visualizations.</t>
  </si>
  <si>
    <t>Identity &amp; Access Management</t>
  </si>
  <si>
    <t>Identity Management: This capability focuses on managing the digital identities of users and systems. It includes processes for creating, updating, and deleting identities, as well as managing their attributes and credentials.</t>
  </si>
  <si>
    <t>Access Management: This involves controlling access to IT resources based on the principle of least privilege. It includes defining access policies, managing roles and permissions, and providing secure authentication and authorization mechanisms.</t>
  </si>
  <si>
    <t>Test</t>
  </si>
  <si>
    <t>Functional Test Management</t>
  </si>
  <si>
    <t>Systems Integration Testing (SIT): This involves testing the interfaces and interactions between different systems and components to ensure they work together as expected.</t>
  </si>
  <si>
    <t>User Acceptance Testing (UAT): This is the final phase of testing where end-users validate that the system meets their business requirements and is fit for purpose.</t>
  </si>
  <si>
    <t>Regression Testing: This capability focuses on re-running functional and non-functional tests to ensure that previously developed and tested software still performs correctly after a change.</t>
  </si>
  <si>
    <t>End-to-End Testing: This involves testing a complete business process from start to finish, simulating a real-world user scenario to validate the flow of data and processes across multiple systems.</t>
  </si>
  <si>
    <t>Security Test Management</t>
  </si>
  <si>
    <t>Penetration Testing: This involves authorized simulated cyberattacks on computer systems, performed to evaluate the security of the system.</t>
  </si>
  <si>
    <t>Static Application Security Testing (SAST): This is a type of white-box testing where the application's source code, byte code, or binary code is analyzed for security vulnerabilities.</t>
  </si>
  <si>
    <t>Dynamic Application Security Testing (DAST): This is a type of black-box testing where the application is tested from the outside, in a running state, to find security vulnerabilities.</t>
  </si>
  <si>
    <t>Resilience Testing: This capability focuses on testing the ability of a system to withstand and recover from failures and disruptions. It includes chaos engineering and other techniques to proactively identify weaknesses.</t>
  </si>
  <si>
    <t>Non-Functional Test Management</t>
  </si>
  <si>
    <t>Performance Testing: This involves testing a system's responsiveness and stability under a particular workload. It helps to identify and eliminate performance bottlenecks.</t>
  </si>
  <si>
    <t>Reliability Testing: This capability focuses on testing the ability of a system to perform its required functions under stated conditions for a specified period.</t>
  </si>
  <si>
    <t>Maintainability Testing: This involves testing the ease with which a system can be modified to correct defects, meet new requirements, or adapt to a changing environment.</t>
  </si>
  <si>
    <t>Experience &amp; Usability Testing: This focuses on evaluating how easy and pleasant a system is to use. It involves observing users as they interact with the system and collecting feedback on their experience.</t>
  </si>
  <si>
    <t>Viability Test Management</t>
  </si>
  <si>
    <t>Hypothesis Management: This involves formulating and managing clear, testable hypotheses about a product or feature. It is a core component of a data-driven approach to product development.</t>
  </si>
  <si>
    <t>Experiment Design: This capability focuses on designing and conducting controlled experiments (such as A/B tests) to validate hypotheses and measure the impact of changes.</t>
  </si>
  <si>
    <t>Viability Data Collection &amp; Analysis: This involves collecting and analyzing data from experiments to determine their outcome. It includes statistical analysis to ensure that the results are significant and reliable.</t>
  </si>
  <si>
    <t>Experiment Management &amp; Review: This capability focuses on managing the portfolio of ongoing experiments and regularly reviewing their results to inform product decisions and drive continuous learning.</t>
  </si>
  <si>
    <t>Deliver</t>
  </si>
  <si>
    <t>Change Readiness Management</t>
  </si>
  <si>
    <t>User Impact Analysis: This involves assessing the impact of a change on different user groups. It helps to identify who will be affected, how they will be affected, and what support they will need to adapt to the change.</t>
  </si>
  <si>
    <t>Readiness Assessment: This capability focuses on evaluating the organization's readiness to adopt a change. It includes assessing stakeholder alignment, training needs, and the capacity of the organization to absorb the change.</t>
  </si>
  <si>
    <t>Communications Management: This involves planning and executing a communication strategy to keep stakeholders informed and engaged throughout the change process. It aims to build awareness, understanding, and commitment to the change.</t>
  </si>
  <si>
    <t>Training: This capability focuses on providing users with the knowledge and skills they need to be successful with a new system or process. It includes developing training materials and delivering training in various formats.</t>
  </si>
  <si>
    <t>Change &amp; Release Management</t>
  </si>
  <si>
    <t>Change Planning &amp; Coordination: This involves planning and coordinating all the activities required to implement a change. It includes creating a change plan, scheduling activities, and coordinating with all involved teams.</t>
  </si>
  <si>
    <t>Release Planning &amp; Packaging: This capability focuses on planning and packaging changes into releases. It includes defining the scope of each release, scheduling the release, and ensuring all components are ready for deployment.</t>
  </si>
  <si>
    <t>Deployment &amp; Transition: This involves deploying the release into the production environment and transitioning support to the operations team. It includes go-live activities, post-implementation reviews, and ensuring a smooth handover.</t>
  </si>
  <si>
    <t>Monitoring &amp; Support: This capability focuses on monitoring the performance of the new system or process after deployment and providing support to users. It includes tracking key metrics, resolving issues, and ensuring the change delivers the expected benefits.</t>
  </si>
  <si>
    <t>Review &amp; Continuous Improvement: This involves reviewing the success of a change and identifying lessons learned for future initiatives. It is a key part of a continuous improvement culture, aiming to get better with every change.</t>
  </si>
  <si>
    <t>Sustain</t>
  </si>
  <si>
    <t>Knowledge Management</t>
  </si>
  <si>
    <t>Strategize, Plan and Evolve Knowledge: This involves setting the direction for how knowledge will be managed within the organization, including planning how knowledge is identified, shared, and utilized. It focuses on developing a knowledge management strategy that aligns with the organization's objectives and evolves based on lessons learned and the changing needs of the organization.</t>
  </si>
  <si>
    <t>Identify/Create New/Update Existing Knowledge: This capability focuses on the continuous identification of valuable new knowledge and the creation or updating of existing knowledge assets. It involves assessing information sources, capturing knowledge in a structured format, and ensuring that the knowledge base remains relevant and up-to-date to support organizational needs.</t>
  </si>
  <si>
    <t>Review/Approve/Publish Knowledge: Before knowledge is made available organization-wide, it undergoes a review and approval process to ensure accuracy, relevance, and compliance with organizational standards. Once approved, knowledge is published in accessible formats and repositories, making it available to stakeholders who need it.</t>
  </si>
  <si>
    <t>Search/View/Use Knowledge: This capability ensures that stakeholders can easily find and access the knowledge they need. It involves maintaining user-friendly knowledge repositories, optimizing search functionalities, and ensuring that knowledge is presented in a usable format to support decision-making and task execution.</t>
  </si>
  <si>
    <t>Retire Knowledge: This process involves regularly evaluating the knowledge repository to identify outdated, obsolete, or less valuable knowledge assets for retirement. It ensures the knowledge base remains current and relevant, reducing clutter and maintaining the quality and usefulness of the knowledge available.</t>
  </si>
  <si>
    <t>Incident Management</t>
  </si>
  <si>
    <t>Classify and Prioritize: This step involves determining the nature and details of the incident and assigning a priority level based on its impact and urgency. Classification helps in directing the incident to the appropriate response teams, while prioritization ensures that incidents with the highest potential to affect business operations are addressed first.</t>
  </si>
  <si>
    <t>Investigate and Diagnose: Here, the focus is on identifying the root cause of the incident through a systematic investigation. This involves gathering information, analyzing symptoms, and utilizing diagnostic tools or knowledge bases to understand the underlying issues causing the disruption.</t>
  </si>
  <si>
    <t>Resolve Incident: Once the cause is identified, the appropriate solution or workaround is applied to resolve the incident. This step aims to restore service to its normal state as efficiently as possible. Resolution activities can range from simple fixes to complex, multi-step processes depending on the nature of the incident.</t>
  </si>
  <si>
    <t>Close Incident: After the incident is resolved, and normal service operation is verified, the incident is formally closed. This includes documenting the resolution details, capturing learnings for future reference, and communicating the resolution to the affected users or stakeholders.</t>
  </si>
  <si>
    <t>Manage Major Incident: This capability specifically addresses incidents with a high impact on business operations, requiring an expedited response. It involves activating a predefined major incident process that typically includes assembling a dedicated team, streamlined decision-making, and focused communication efforts to manage and resolve the incident as quickly as possible.</t>
  </si>
  <si>
    <t>Problem Management</t>
  </si>
  <si>
    <t>Log, classify and prioritize: This entails recording the problem, detailing its symptoms, and classifying it based on predefined criteria to understand its nature and impact. Prioritization is then determined based on the problem’s urgency and potential impact on the business, ensuring that resources are allocated effectively to address the most critical issues first.</t>
  </si>
  <si>
    <t>Investigate and Diagnose: In this step, a thorough investigation of the logged problem is conducted to identify the underlying root cause. This involves analyzing incident records, employing diagnostic techniques, and potentially utilizing a known error database to gather insights into the problem's origin.</t>
  </si>
  <si>
    <t>Resolve problem: Once the root cause is identified, actions are taken to rectify the issue, preventing future incidents from occurring. This may involve implementing a fix, developing a workaround, or making a recommendation for change. The goal is to eliminate the problem or reduce its impact on the IT services.</t>
  </si>
  <si>
    <t>Close record: After the problem has been resolved, the problem record is formally closed. This includes documenting the problem's lifecycle, from identification through to resolution, and ensuring that all relevant stakeholders are informed of the outcome. This closure helps in maintaining an accurate and current problem database.</t>
  </si>
  <si>
    <t>Known Error Control: This capability involves managing known errors throughout their lifecycle. It includes documenting known errors, their workarounds, and any implemented solutions within a known error database. The aim is to provide a reference that can be used to expedite the resolution of future incidents and to support the continuous improvement of IT services.</t>
  </si>
  <si>
    <t>Request Management</t>
  </si>
  <si>
    <t>Submit Request: This initial phase allows users to formally submit a service request via predefined channels. The request includes details such as the nature of the service or information needed, urgency, and any specific requirements. This step is critical for capturing and documenting user needs accurately for further action.</t>
  </si>
  <si>
    <t>Validate Request: During validation, the submitted request is examined for completeness, accuracy, and legitimacy. This process ensures that all necessary information is included and that the request complies with organizational policies and service catalog offerings. It serves as a checkpoint to avoid processing invalid or incomplete requests.</t>
  </si>
  <si>
    <t>Approve Request: Approval involves evaluating the request against predefined criteria such as resource availability, impact on service levels, and alignment with business priorities. Authorized personnel make informed decisions on whether to proceed with the request, ensuring effective use of resources and adherence to organizational governance.</t>
  </si>
  <si>
    <t>Fulfill Request: In this phase, the approved request is actioned upon. It involves coordinating with relevant teams, allocating resources, and executing the necessary steps to deliver the requested service or information. The focus is on efficient and effective fulfillment, aiming for user satisfaction and timely delivery.</t>
  </si>
  <si>
    <t>Close Request: Closure of a request is formalized once the service or information has been successfully delivered and confirmed by the requester. This step involves documenting the outcome, gathering feedback for quality improvement, and ensuring that all actions related to the request are completed.</t>
  </si>
  <si>
    <t>Cancel Request: Cancellation occurs when a request cannot be fulfilled due to various reasons such as changes in user needs, unavailability of resources, or prioritization shifts. This involves formally documenting the cancellation, notifying involved parties, and capturing reasons for future reference.</t>
  </si>
  <si>
    <t>Monitoring &amp; Event Management</t>
  </si>
  <si>
    <t>Event Detection &amp; Logging: This capability involves continuously monitoring the IT environment to identify and record events that signify normal operation, warnings, or exceptions. Effective detection and logging are foundational for timely awareness of potential issues or confirmation of operational integrity.</t>
  </si>
  <si>
    <t>Event Correlation &amp; Filtering: Events are analyzed to distinguish between routine operations and potential problems. Correlation techniques link related events to identify patterns or incidents, while filtering mechanisms reduce noise by disregarding inconsequential events, focusing attention on significant issues requiring action.</t>
  </si>
  <si>
    <t>Event Response &amp; Reporting: Once significant events are identified, predefined response procedures are initiated, which may include alerts, escalations, or automated remediation actions. Reporting encompasses the documentation and communication of event details, impacts, and responses to relevant stakeholders for awareness and decision-making support.</t>
  </si>
  <si>
    <t>Review &amp; Closure: After an event is resolved or deemed non-impactful, a review is conducted to evaluate the handling process, outcomes, and lessons learned. Closure formalizes the end of an event’s lifecycle in the management system, allowing for historical analysis and continuous improvement.</t>
  </si>
  <si>
    <t>Service Asset &amp; Configuration Management</t>
  </si>
  <si>
    <t>Asset &amp; Configuration Identification: This process involves defining and cataloging assets and their configurations within an organization. It establishes a comprehensive inventory of physical and digital assets, detailing their characteristics, locations, and relationships to other configuration items, providing a foundation for effective management and decision-making.</t>
  </si>
  <si>
    <t>Asset &amp; Configuration Tracking: Continuous monitoring and documentation of changes to assets and their configurations ensure that the organization has an accurate, real-time view of its asset landscape. This tracking supports effective management of the asset lifecycle, facilitates impact analysis for changes, and aids in risk management.</t>
  </si>
  <si>
    <t>Planning &amp; Control: Strategic planning for asset and configuration management outlines the procedures, tools, and responsibilities required to manage assets throughout their lifecycles. Control mechanisms ensure compliance with the plan, governing the acquisition, usage, and disposition of assets in line with organizational objectives and standards.</t>
  </si>
  <si>
    <t>Verification &amp; Audit: Regular audits and verification processes confirm the accuracy of the asset and configuration data against the actual inventory. This ensures the integrity of the asset database, identifies discrepancies for correction, and validates compliance with management policies and standards.</t>
  </si>
  <si>
    <t>Status Accounting &amp; Reporting: This involves maintaining and reporting on the status, history, and changes of assets and configurations. It provides stakeholders with critical information for decision-making, risk assessment, and compliance verification, supporting efficient and effective asset and service management.</t>
  </si>
  <si>
    <t>Disposal &amp; Decommissioning Management: Guiding the safe, compliant, and environmentally responsible removal or repurposing of assets at the end of their lifecycle. This includes detailed planning for decommissioning, data sanitization, and disposal, ensuring that organizational policies, legal requirements, and sustainability goals are met.</t>
  </si>
  <si>
    <t>Threat Detection &amp; Response Management</t>
  </si>
  <si>
    <t>Threat Intelligence: The process of collecting, analyzing and interpreting information about potential cyber-security threats and risks. It involves monitoring sources like security feeds, forums and dark web activities to gain insights into emerging attack techniques, vulnerabilities and malicious actors. By leveraging threat intelligence, organizations can proactively anticipate and mitigate threats, enhance their security posture and make informed decisions to protect their digital assets and systems.</t>
  </si>
  <si>
    <t>Threat Detection: The identification and management of deviations from the normal or expected behavior of systems, users, and networks. This includes establishing and maintaining baselines for normal operations, analyzing detected events, and determining the impact of these events. Provides ongoing, real-time monitoring of the organization’s network, physical environment, personnel activity, and other relevant components. The goal is to identify potential cybersecurity events and monitor indicators that may suggest compromised systems, unauthorized access, or other security-related issues. Manages policies, processes, procedures, and technologies that support the detection of cybersecurity events. It includes defining roles and responsibilities for detection, ensuring compliance with applicable policies and regulations, and communicating event detection information to the relevant parties. It also emphasizes continuous improvement and regular testing of detection processes.</t>
  </si>
  <si>
    <t>Threat Response: Deals with the investigation, analysis, and understanding of cybersecurity events. It includes activities such as investigating notifications from detection systems, understanding the impact of incidents, performing forensic analysis, and conducting incident response activities with awareness of their potential impact on the organization and external stakeholders. Also involves focusing on activities taken to contain and mitigate cybersecurity incidents. It includes both incident containment and steps to address the root cause of the incident to prevent future occurrences. The goal is to minimize the damage to the organization's customers/stakeholders, systems, and assets - and documenting any newly identified vulnerabilities as risks. This capability calls on an organization to define roles and responsibilities during a response and ensure that relevant communication is consistent with response plans.</t>
  </si>
  <si>
    <t>IT Risk &amp; Compliance Management</t>
  </si>
  <si>
    <t>IT Risk Management: IT Risk Management is the process of establishing and maintaining core risk management structures, frameworks, and data across both enterprise and IT domains. This includes identifying, assessing, mitigating, and reporting on enterprise, operational, and IT risks, ensuring a cohesive and comprehensive approach to risk management.</t>
  </si>
  <si>
    <t>Policy &amp; Controls Management: Policy &amp; Controls Management (PCM) is the process of establishing and maintaining core policy and internal controls management structures, frameworks, and data. This encompasses managing the end-to-end policy lifecycle, handling exceptions and attestations, identifying, managing, testing, and reporting on the effectiveness of an organization's system of internal control, and ensuring compliance with policies and control measures in a unified manner.</t>
  </si>
  <si>
    <t>Compliance Management: Compliance Management (CM) is the process of establishing and maintaining core Compliance Management structures, frameworks and data; managing the Compliance testing lifecycle; managing the Compliance advisory process; and reporting on the organization’s Compliance status.</t>
  </si>
  <si>
    <t>Third Party Risk Management: Third Party Risk Management (TPRM) is the process of establishing and maintaining core Third Party Risk Management structures, frameworks and data; and of identifying, assessing, mitigating and reporting on Third Party risks.</t>
  </si>
  <si>
    <t>Internal Controls Assessment: Internal Controls Assessment (ITCA) is the process of establishing and maintaining core Internal Controls management structures, frameworks and data; and of identifying, managing, testing and reporting on the effectiveness of an organization’s system of internal control.</t>
  </si>
  <si>
    <t>Recovery &amp; Resiliency Management</t>
  </si>
  <si>
    <t>Resilience Assessment: Involves evaluating the organization’s ability to withstand and recover from potential disruptions such as hardware failures, cyber attacks or natural disasters. It includes identifying critical systems, process and dependencies as well as assessing the vulnerabilities and potential impact on business operations.</t>
  </si>
  <si>
    <t>Resilience Planning: Involves developing proactive strategies and contingency plans to ensure business continuity and minimize the impact of disruptions. It includes identifying critical assets, defining recovery objectives and outlining response procedures. Resilience planning aims to enhance the organization’s ability to adapt, recover and continue operations effectively in the face of various threats or incidents.</t>
  </si>
  <si>
    <t>Resilience Implementation: It refers to the execution of the planned strategies and measures to enhance the organization’s ability to withstand and recover from disruptions. It involves implementing resilient infrastructure, backup and recovery systems and security protocols. It also ensures that the organization is prepared to respond effectively to incidents and maintain essential operations during challenging situations, minimizing downtime and data loss.</t>
  </si>
  <si>
    <t>Recovery Drilling: It involves simulating adverse scenarios such as hardware failures, network outages or cyber attacks to assess how system responds and recovers. Resilience testing helps identify weaknesses, improve recovery strategies and validate the organization’s overall preparedness to withstand and bounce back from unexpected events.</t>
  </si>
  <si>
    <t>Data Management &amp; Governance</t>
  </si>
  <si>
    <t>Data Strategy: The data management strategy determines how data management is defined, organized, funded, governed, and embedded into the operations of the organization. It defines the long-term vision, including a description of stakeholders or stakeholder functions that must be aligned. Data management strategy demonstrates the business value that the program will seek to achieve. It becomes the blueprint for the organization to evaluate, define, plan, measure, and execute a successful and mature data management initiative. The purpose of developing a data management strategy and business case is to articulate the rationale for the data management initiative. The strategy defines why the initiative is needed, as well as the goals and expected benefits. The strategy also describes how to mobilize the organization to implement a successful data management initiative. The data management strategy provides the rationale for investment in data management initiatives. Data management is no different than any other established business process. It needs to be justified, funded, measured, and evaluated. It provides clarity of purpose, enabling agreement and support of initiative objectives from senior executives as well as program stakeholders.</t>
  </si>
  <si>
    <t>Data Ethics: Involves analytics model testing, approval, release, and regular review processes to ensure use of data and analytics are aligned with Data Ethics stances and integrated with an Enterprise Risk Management capability. It may also be tied to ESG goals &amp; initiatives, alongside other Corporate Social Responsibility efforts. Maintaining a responsible analytics management function requires the adoption of a clear ethos that helps guide practice. Education is a key mechanism for ensuring all data analysts not only understand these guiding principles but can put them into practice effectively.</t>
  </si>
  <si>
    <t>Data Technology Architecture: Data technology architecture is the strategy and execution of how the physical infrastructure is designed to support the business and data needs of the organization. Data technology Architecture refers to the strategy, design, and implementation of the technology infrastructure, which supports the defined business and Data Architecture. Data technology architecture defines the platforms and tools, and how they need to be designed for maximum efficiency to support the requirements of the business process, data, and data management. The purpose of data technology architecture is to support the business process and define how data is physically acquired, moved, persisted, and distributed in a streamlined and efficient manner. Physical data proximity, bandwidth, processing time, backup, recovery, archiving, and disposition are some of the important elements of a mature Technology Architecture. The efficient and effective movement of data is critical to business operations. Technology Architecture determines how data, tools and platforms operate in collaboration to satisfy business requirements. The proper alignment of these components dictates application efficiency and system processing speed. This enables organizations to control costs and achieve infrastructure scalability and elasticity, which are characteristic of an organization that is designed for long-term implementation success.</t>
  </si>
  <si>
    <t>Data Quality Management: Defines the goals, approaches, and plans of action that ensure data content is of sufficient quality to support defined business and strategic objectives of the organization. A data quality capability should be developed in alignment with business objectives, measured against defined Data Quality (DQ) dimensions and based on an analysis of the current state of DQ. Data Quality Management is a series of processes across the full data supply chain designed to ensure that the data provisioned meets the needs of its intended consumers. DQ requires an understanding of how data is sourced, defined, transformed, provisioned, and consumed. DQ is not a process itself, but describes the degree to which data is fit for purpose for a given business process or operation. It is a set of capabilities to define data profiling, DQ measurement, defect management, root-cause analysis, and data remediation. These capabilities allow the organization to execute processes across the Data Control Environment, ensuring that data are fit for their intended purposes.</t>
  </si>
  <si>
    <t>Data Governance: Data governance is the backbone of a successful Data Management (DM) initiative. Data Governance is the process of setting standards, defining rules, establishing policy and implementing oversight. It is these steps that ensure adherence to DM best practices. Governance formalizes and empowers the DM initiative to ensure propagation and sustainability throughout the organization. The purpose of Data Governance is to formalize DM as an established business function. Data Governance establishes the rules of engagement, drives the prioritization of funding and enforces compliance. Data Governance delineates the guidelines for data movement. These movement guidelines prescribe how data will be acquired, persisted, distributed, appropriately used, archived, and/or defensibly destroyed. Data Governance formalizes oversight by establishing control guidelines, approval processes, and evaluation of adherence to policies and procedures. It identifies stakeholders and empowers them. Data Governance ensures that DM principles are fully detailed, and adoption is achieved. Business, data, and technology functions are held responsible for the maintenance, quality, and proper use of data throughout the organization as part of the Data Governance function.</t>
  </si>
  <si>
    <t>Data Architecture: Data Architecture is the strategy and execution of how data is designed (identified and described) to support the business objectives. Data Architecture speaks to the design, definition, management, and control of information content. Data Architecture identifies data domains, documents metadata, defines critical data elements, and establishes taxonomies and ontologies to ensure that the meaning of data is precise and unambiguous, and that data use is consistent and transparent. The Data Architecture function establishes consistency in definition and use of data throughout an organization. Adhering to a prescribed Data Architecture forces business and technology resources to take the necessary steps to define and document data meaning, define the appropriate use of the data, and to ensure that proper governance is in place to manage data as meaning on a sustainable basis. The requirements for data as well as for Data Management (DM), are interpreted through Data Architecture. This interpretation defines the requirements to design the physical data consumed, produced and provisioned by the business process. Data Architecture is a bridge between the data requirements of the business process and the physical execution of that data in technology infrastructure.</t>
  </si>
  <si>
    <t>IT Talent &amp; Communications Management</t>
  </si>
  <si>
    <t>Job Architecture: Developing a dynamic job architecture that allows for the creation of new roles and the evolution of existing roles to keep pace with changing business needs. This involves creating job descriptions, defining career paths, and providing opportunities for career growth.</t>
  </si>
  <si>
    <t>Talent Acquisition: Developing a strategic approach to recruiting IT talent from diverse sources, such as high schools, community colleges, universities, and other educational institutions. This involves creating partnerships with these sources of talent to ensure a steady flow of qualified candidates.</t>
  </si>
  <si>
    <t>Learning &amp; Development: Involves training and enhancing the skills of IT professionals to effectively respond to and recover from disruptions. It ensures that IT teams are well-prepared to handle incidents, minimize downtime and restore services swiftly bolstering the organization’s overall resilience and ability to adapt to changing circumstances. Creating a culture of continuous learning and development to improve the skills of existing employees and attract new talent.</t>
  </si>
  <si>
    <t>Talent Performance Management: Focuses on assessing and optimizing the performance expectations, conducting regular evaluations and providing feedback and coaching to enhance individual and team capabilities. Managing the performance of IT talent through regular feedback, goal setting, and evaluation. This involves creating a culture of accountability and continuous improvement.</t>
  </si>
  <si>
    <t>Resource Management: Manages the capabilities and capacity of people in the organization so they may be found and leveraged for their knowledge or for them to perform a task. Resource management involves tracking the qualifications and metadata associated with people in the IT organization, while capacity management manages the amount of each resource’s effort or capacity consumed by projects, products, and services, aligning resources with high-priority tasks, and ensuring transparency in usage and commitments.</t>
  </si>
  <si>
    <t>Audience Analysis: Involves identifying and understanding the diverse needs, preferences, and characteristics of the IT department's internal and external stakeholders. This analysis informs the development of tailored communication strategies to effectively engage and inform each audience segment.</t>
  </si>
  <si>
    <t>Channel Analysis: Evaluates the effectiveness and reach of various communication channels (e.g., emails, meetings, intranet) used within the IT department. This process helps in selecting the most appropriate and impactful channels for disseminating information and fostering communication.</t>
  </si>
  <si>
    <t>Develop Communication Strategy: The process of creating a comprehensive plan that outlines how information will be communicated within and outside the IT department. This strategy considers the objectives, key messages, audience analysis, channel selection, and timing to ensure effective and consistent communication.</t>
  </si>
  <si>
    <t>Execute &amp; Measurement: Involves the implementation of the communication strategy and the ongoing monitoring of its effectiveness. This includes delivering messages, collecting feedback, and measuring impact against predefined metrics to adjust and improve communication practices continually.</t>
  </si>
  <si>
    <t>IT Financial Management</t>
  </si>
  <si>
    <t>Planning &amp; Budgeting: Develop and update operating and financial plans, budgets, and forecasts for IT related Spend. Define processes, inputs, outputs and responsibilities for the financial management and accounting of I&amp;T in alignment with the enterprise budgeting and cost accounting policies and approach. Define how to analyze and report (to whom and how) on the I&amp;T budget control process.</t>
  </si>
  <si>
    <t>Reporting, Analytics &amp; Billing: Prepare and present monthly IT Financial reports, manage variances, and develop action plans to address. Establish and maintain practices for financial reporting and the optimization of recurring operational costs to deliver maximum value to the enterprise for the least expenditure. Prepare and present ‘customer facing’ views of technology spend, typically by technical or business service to enable Show back/Chargeback. Decide on a cost allocation model that enables fair, transparent, repeatable and comparable allocation of I&amp;T-related costs to users, e.g. an activity-based costing scheme, in which costs are allocated to IT services and charged to users of these services, enables a more transparent and comparable allocation of cost.</t>
  </si>
  <si>
    <t>Business Value alignment: Connect technology investments to Business value &amp; also ensuring maximization of value by helping different disciplines (Engineering, Business, Finance &amp; technology) collaborate. This involves development of principles to guide/calibrate decisions at local level. Also ensures that the Financial aspects of IT tie in to the stakeholder objectives related to Run ( operate) &amp; Change ( Grow/transform)</t>
  </si>
  <si>
    <t>L1 Capability Definition</t>
  </si>
  <si>
    <t>L2 Capability Definition</t>
  </si>
  <si>
    <t>The TEM capability is primarily about setting common standards for how all UX/UI design is done for the enterprise. This involves ethnography to understand what user demographics expect from technology, user persona definition to segment ethnographic insights specific to certain user groups the enterprise targets, user journey mapping to plot interactions with technology, usability and sentiment analysis to evaluate user experience across their journey, and design asset management bringing it all together into standards for a consistent user experience for technologies deployed by the enterprise. The TEM capability serves the User Interface &amp; Data Visualization capability (a related but different capability in this model) much like Enterprise and Solution Architecture capabilities serve the software development capability with common standards and patterns.</t>
  </si>
  <si>
    <t>It refers to the process of analyzing the current state of a company, defining strategic priorities, managing value streams, and allocating resources to optimize investment performance. This includes tracking investments, adjusting strategies as needed, and managing risk to ultimately deliver value to customers and stakeholders.</t>
  </si>
  <si>
    <t>This encapsulates distinct approaches to managing different aspects of an organization's products, services, and assets throughout their lifecycles. It establishes what the lifecycle stages are, what the implications of each lifecycle stage should be strategically and operationally and keeps track of where everything is in its lifecycle. It also manages other metadata about the products, services, and assets like purpose, service levels, owner, primary user base, and other attributes and properties.</t>
  </si>
  <si>
    <t>Developing and managing the strategic framework that defines how IT and enterprise architecture will deliver value, ensuring seamless collaboration, efficient operations, and alignment with business objectives. This includes designing architecture visions, defining components, planning implementations, providing architecture services, and managing IT processes, performance, and governance.</t>
  </si>
  <si>
    <t xml:space="preserve">It is the process of overseeing and optimizing relationships with third-party providers of IT products and services. This process encompasses the strategic selection, evaluation, contracting, and management of vendors to ensure they deliver value, meet performance expectations, and align with an organization's business objectives. </t>
  </si>
  <si>
    <t>It involves intaking portfolio-level ideas (e.g., "Epics"), clarifying and analyzing them in consideration of their dependencies so they can be prioritized as demand for IT, then monitoring progress and recognizing value generated by delivering on these demands.</t>
  </si>
  <si>
    <t>It involves intaking program-level ideas (e.g., "Features" or "Program Requirements"), clarifying and analyzing them in consideration of their dependencies so they can be prioritized as demand for federated teams, then monitoring progress and recognizing value generated by delivering on these demands.</t>
  </si>
  <si>
    <t>It involves intake of team-level ideas (e.g., "Stories" or "User Requirements"), clarifying and analyzing them in consideration of their dependencies so they can be prioritized as demand for different team members to deliver, then monitoring progress and recognizing value generated by delivering on these demands.</t>
  </si>
  <si>
    <t>Designing and defining the architectural framework of solutions that align with strategic priorities and technical feasibility, ensuring they integrate seamlessly within the existing IT landscape and meet organizational objectives.</t>
  </si>
  <si>
    <t>This refers to the processes, tools, and strategies used by organizations to monitor, secure, and maintain physical and virtual personal computing and productivity devices and endpoints used within the IT estate.</t>
  </si>
  <si>
    <t>It refers to the processes, tools, and strategies used by organizations to design, monitor, maintain, and optimize their network infrastructure. These include overseeing hardware components, such as routers, switches, servers, and other network devices, as well as software applications and protocols responsible for handling network traffic, connectivity, and security.</t>
  </si>
  <si>
    <t>It refers to the process of organizing, controlling, and maintaining the server and storage infrastructure and resources where applications, websites, or other web-based services reside. This involves provisioning, monitoring, configuring, deploying, and optimizing the environment to ensure efficiency, security, stability, and availability. Hosting environments can be on premises, in the public cloud provided by hyperscalers, or hybrid. Typically, a Cloud Landing Zone is developed for each enterprise to manage public and private cloud resources, and to provide self-service access to engineers who are developing systems to be hosted in the cloud.</t>
  </si>
  <si>
    <t>It is the process of tracking and controlling changes to the source code or configuration of a product or an asset. It helps developers and configuration analysts to work collaboratively, maintain a history of revisions, prevent conflicts, and easily revert to previous versions if needed. It also helps enforce architectural, security, resilience, and data standards while development and configuration is happening.</t>
  </si>
  <si>
    <t>It refers to the process of designing, implementing, monitoring, and maintaining APIs and integrations with other systems, applications, and services. This helps organizations connect software components, enable seamless data exchange, and expand the functionality of their systems. It also helps create a self-service experience for anyone seeking to leverage data or functionality from technologies that have already been built - internal or external (e.g., SaaS application).</t>
  </si>
  <si>
    <t>It is the process of organizing, controlling, and supervising data engineering &amp; analytics activities and resources within an organization. It involves the strategic planning, implementation, and evaluation of data-driven solutions that enable organizations to gain insights, make informed decisions, and achieve their goals.</t>
  </si>
  <si>
    <t>It is the process of designing and creating visual representations of data and user interfaces for software applications, websites, or other digital products. It encompasses the design, layout, and overall look and feel of the user experience, ensuring that data visualization and interaction are informative, accessible, consistent, branded (where needed), efficient, and visually compelling.</t>
  </si>
  <si>
    <t>It is a framework of policies and technologies used to ensure the appropriate level of access to an organization's systems, resources, and data. It involves the management of user identities, authentication, authorization, and access controls within a network or digital environment.</t>
  </si>
  <si>
    <t>It involves planning, organizing, and overseeing the testing of software applications to ensure that they perform according to specified functional requirements.</t>
  </si>
  <si>
    <t>It checks whether software is vulnerable to cyber attacks, and tests the impact of malicious or unexpected inputs on its operations. It checks to determine if the change will risk violating applicable resilience requirements or standards set to assure minimum recoverability objectives can be met when running in production. It provides evidence that systems and information are safe and reliable, and that they do not accept unauthorized inputs.</t>
  </si>
  <si>
    <t>It evaluates software application’s performance, usability, dependability, and other non-functional characteristics. It is intended to test a system’s readiness according to non-functional criteria that functional testing never considers.</t>
  </si>
  <si>
    <t>It involves planning, executing and evaluating tests to determine the feasibility and practicality of a new product, feature, or behavior to satisfy the intended end users. It assesses whether the proposed solution is technically, financially and operationally viable before committing further resources for development, if necessary.</t>
  </si>
  <si>
    <t xml:space="preserve"> It is the systematic approach to help an organization identify impacted users and stakeholders, and assess their readiness to accept and gain best use of proposed changes.</t>
  </si>
  <si>
    <t>Change &amp; Release Management is a comprehensive approach that ensures all changes to technology systems are assessed, approved, implemented, and released in a controlled and systematic manner. This approach ensures that IT changes enhance service quality and operational efficiency while minimizing disruption. The process aligns IT activities with business objectives, ensuring changes are delivered reliably and consistently.</t>
  </si>
  <si>
    <t>Knowledge Management is defined as the practice of maintaining and improving the effective, efficient, and convenient use of information and knowledge across an organization. This practice involves the collection, analysis, storage, and sharing of knowledge within the organization to ensure it is accessible and useful for decision-making, thereby facilitating continual improvement in services.</t>
  </si>
  <si>
    <t>Incident Management is defined as the practice of minimizing the negative impact of incidents by restoring normal service operation as quickly as possible. This practice aims to ensure service quality and availability are maintained, focusing on rapid response, effective communication, and systematic resolution processes to address unexpected disruptions in service.</t>
  </si>
  <si>
    <t>Problem Management is the practice of identifying, managing, and reducing incidents over time within an IT service. It involves analyzing incidents and problems to prevent recurrence, thereby improving service quality and availability. This practice not only addresses the root causes of incidents but also maintains information about problems and their workarounds, contributing to the overall improvement of IT services.</t>
  </si>
  <si>
    <t>Request Management as the practice of enabling service users to request and receive standard services, obtain information, and make changes. It ensures that requests are executed efficiently and effectively, enhancing user satisfaction and service access.</t>
  </si>
  <si>
    <t>Monitoring and Event Management focuses on systematically observing services and service components, and recording and managing events that could impact service quality.</t>
  </si>
  <si>
    <t>This practice involves planning, identifying, controlling, and verifying the assets and configurations that support an organization's services, ensuring accurate information about assets and configurations is available when and where it's needed.</t>
  </si>
  <si>
    <t>It refers to the strategies, processes, and technologies employed by organizations to detect and respond to cyber threats and security incidents impacting any technology used by the enterprise.</t>
  </si>
  <si>
    <t>It is the process of identifying, assessing, monitoring, and mitigating potential risks within an organization's IT environment while ensuring adherence to internal policies, industry standards, and external regulations.</t>
  </si>
  <si>
    <t>It is a comprehensive approach in which organizations develop and implement strategies, processes, and practices to anticipate and mitigate risk of downtime, minimize the impact of unexpected events, and ensure the rapid restoration and stable operation of their systems and services.</t>
  </si>
  <si>
    <t>Data Management &amp; Governance encompasses the holistic approach to managing and governing an organization's data assets to ensure their quality, consistency, security, and compliance. This approach involves defining, creating, standardizing, and maintaining critical business entities through robust policies, procedures, and technologies. It aims to establish a single, authoritative source of truth for data, enhance decision-making, minimize risks, and ensure adherence to internal and external data standards and regulations, thereby supporting the organization's strategic objectives and operational efficiency.</t>
  </si>
  <si>
    <t>IT Talent &amp; Communications Management refers to the comprehensive and strategic approach to managing the lifecycle of IT professionals within an organization and ensuring effective communication within IT realms. This unified domain involves attracting, developing, and retaining IT talents while establishing clear, impactful communication channels and strategies to support technology-related needs and goals. It encompasses job architecture, talent acquisition, learning and development, and performance management, alongside analyzing communication needs, channels, and executing strategies to foster a collaborative and high-performing IT culture.</t>
  </si>
  <si>
    <t>IT Financial Management is the process of strategically planning, monitoring, and optimizing the expenses and resources associated with an organization's information technology (IT) operations. It involves understanding and controlling IT-related costs, tracking investments in hardware, software, services, and personnel, and aligning IT spending with the organization's strategic objectives and budgetary constraints.</t>
  </si>
  <si>
    <t>Represents strategic alignment capabilities that set the context information, structure, and rules for other capabilities in the IT value chain. Includes capabilities like Strategy &amp; Investment Management and IT Vendor Management.</t>
  </si>
  <si>
    <t>Defines requirements at the Portfolio-, Program/Increment-, and Project/Product-level, as well as to articulate the Solution Architecture design at a sufficient level of detail. These capabilities help elicit 'ideas' and assess how well they align with strategic priorities, and how feasible they are from a technical, financial, and operational perspective.</t>
  </si>
  <si>
    <t>Stages modifications to technologies managed by IT to meet requirements and prepare for testing. These capabilities involve building technical specifications, developing software, adjusting software configurations, setting up hardware (end user, network, datacenter), managing cloud environments, building data models, developing algorithms, integrating systems and designing the UX/UI for a solution.</t>
  </si>
  <si>
    <t>Assures the quality of staged technology changes before they are presented for release to end users. These capabilities ensure changes meet the required functionality, performance, and security requirements. This typically involves Unit Testing, Systems Integration Testing (SIT), and User Acceptance Testing (UAT). Some organizations might also conduct 'Viability Testing' to evaluate whether changes are ‘minimally viable.’</t>
  </si>
  <si>
    <t>Evaluates final readiness for a change to be delivered to end users. These capabilities involve both readiness planning (i.e., are users ready for change or is there a readiness plan) and technical deployment planning (i.e., how will changes be delivered and what happens if something goes wrong).</t>
  </si>
  <si>
    <t>Keeps IT running smoothly. These capabilities include incident management, cyber threat detection &amp; response, data management &amp; governance, IT asset management, IT risk &amp; compliance, IT talent &amp; communications management, and IT financial management.</t>
  </si>
  <si>
    <t>L3 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</si>
</sst>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top"/>
    </xf>
    <xf numFmtId="0" fontId="0" fillId="0" borderId="0" xfId="0" applyAlignment="1">
      <alignment horizontal="left" vertical="top"/>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vertical="center"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BF2F-CFD3-4D37-8187-2885ADD0E106}">
  <dimension ref="A1:F151"/>
  <sheetViews>
    <sheetView tabSelected="1" zoomScale="40" zoomScaleNormal="40" workbookViewId="0"/>
  </sheetViews>
  <sheetFormatPr defaultRowHeight="14.5" x14ac:dyDescent="0.35"/>
  <cols>
    <col min="1" max="1" width="8.7265625" style="2"/>
    <col min="2" max="2" width="20.26953125" style="2" bestFit="1" customWidth="1"/>
    <col min="3" max="3" width="50.81640625" style="2" bestFit="1" customWidth="1"/>
    <col min="4" max="4" width="55.81640625" style="2" customWidth="1"/>
    <col min="5" max="5" width="27.90625" style="4" bestFit="1" customWidth="1"/>
    <col min="6" max="6" width="86.08984375" style="4" customWidth="1"/>
    <col min="7" max="16384" width="8.7265625" style="2"/>
  </cols>
  <sheetData>
    <row r="1" spans="1:6" x14ac:dyDescent="0.35">
      <c r="A1" s="1" t="s">
        <v>0</v>
      </c>
      <c r="B1" s="1" t="s">
        <v>194</v>
      </c>
      <c r="C1" s="1" t="s">
        <v>1</v>
      </c>
      <c r="D1" s="1" t="s">
        <v>195</v>
      </c>
      <c r="E1" s="6" t="s">
        <v>237</v>
      </c>
      <c r="F1" s="6" t="s">
        <v>2</v>
      </c>
    </row>
    <row r="2" spans="1:6" ht="217.5" x14ac:dyDescent="0.35">
      <c r="A2" s="2" t="s">
        <v>3</v>
      </c>
      <c r="B2" s="4" t="s">
        <v>231</v>
      </c>
      <c r="C2" s="2" t="s">
        <v>4</v>
      </c>
      <c r="D2" s="3" t="s">
        <v>196</v>
      </c>
      <c r="E2" s="4" t="str">
        <f>LEFT(F2, FIND(":", F2))</f>
        <v>Technology Experience Strategy:</v>
      </c>
      <c r="F2" s="4" t="s">
        <v>5</v>
      </c>
    </row>
    <row r="3" spans="1:6" ht="217.5" x14ac:dyDescent="0.35">
      <c r="A3" s="2" t="str">
        <f t="shared" ref="A3:A23" si="0">A2</f>
        <v>Align</v>
      </c>
      <c r="B3" s="4" t="s">
        <v>231</v>
      </c>
      <c r="C3" s="2" t="str">
        <f t="shared" ref="C3:C5" si="1">C2</f>
        <v>Technology Experience Management</v>
      </c>
      <c r="D3" s="3" t="s">
        <v>196</v>
      </c>
      <c r="E3" s="4" t="str">
        <f t="shared" ref="E3:E66" si="2">LEFT(F3, FIND(":", F3))</f>
        <v>User Journey and Persona Management:</v>
      </c>
      <c r="F3" s="4" t="s">
        <v>6</v>
      </c>
    </row>
    <row r="4" spans="1:6" ht="217.5" x14ac:dyDescent="0.35">
      <c r="A4" s="2" t="str">
        <f t="shared" si="0"/>
        <v>Align</v>
      </c>
      <c r="B4" s="4" t="s">
        <v>231</v>
      </c>
      <c r="C4" s="2" t="str">
        <f t="shared" si="1"/>
        <v>Technology Experience Management</v>
      </c>
      <c r="D4" s="3" t="s">
        <v>196</v>
      </c>
      <c r="E4" s="4" t="str">
        <f t="shared" si="2"/>
        <v>Experience Measurement and Analytics:</v>
      </c>
      <c r="F4" s="4" t="s">
        <v>7</v>
      </c>
    </row>
    <row r="5" spans="1:6" ht="217.5" x14ac:dyDescent="0.35">
      <c r="A5" s="2" t="str">
        <f t="shared" si="0"/>
        <v>Align</v>
      </c>
      <c r="B5" s="4" t="s">
        <v>231</v>
      </c>
      <c r="C5" s="2" t="str">
        <f t="shared" si="1"/>
        <v>Technology Experience Management</v>
      </c>
      <c r="D5" s="3" t="s">
        <v>196</v>
      </c>
      <c r="E5" s="4" t="str">
        <f t="shared" si="2"/>
        <v>Continuous Experience Improvement:</v>
      </c>
      <c r="F5" s="4" t="s">
        <v>8</v>
      </c>
    </row>
    <row r="6" spans="1:6" ht="159.5" x14ac:dyDescent="0.35">
      <c r="A6" s="2" t="str">
        <f t="shared" si="0"/>
        <v>Align</v>
      </c>
      <c r="B6" s="4" t="s">
        <v>231</v>
      </c>
      <c r="C6" s="2" t="s">
        <v>9</v>
      </c>
      <c r="D6" s="3" t="s">
        <v>197</v>
      </c>
      <c r="E6" s="4" t="str">
        <f t="shared" si="2"/>
        <v>Current State Analysis:</v>
      </c>
      <c r="F6" s="4" t="s">
        <v>10</v>
      </c>
    </row>
    <row r="7" spans="1:6" ht="159.5" x14ac:dyDescent="0.35">
      <c r="A7" s="2" t="str">
        <f t="shared" si="0"/>
        <v>Align</v>
      </c>
      <c r="B7" s="4" t="s">
        <v>231</v>
      </c>
      <c r="C7" s="2" t="str">
        <f t="shared" ref="C7:C9" si="3">C6</f>
        <v>Strategy &amp; Investment Management</v>
      </c>
      <c r="D7" s="3" t="s">
        <v>197</v>
      </c>
      <c r="E7" s="4" t="str">
        <f t="shared" si="2"/>
        <v>Strategic Priority Definition:</v>
      </c>
      <c r="F7" s="4" t="s">
        <v>11</v>
      </c>
    </row>
    <row r="8" spans="1:6" ht="159.5" x14ac:dyDescent="0.35">
      <c r="A8" s="2" t="str">
        <f t="shared" si="0"/>
        <v>Align</v>
      </c>
      <c r="B8" s="4" t="s">
        <v>231</v>
      </c>
      <c r="C8" s="2" t="str">
        <f t="shared" si="3"/>
        <v>Strategy &amp; Investment Management</v>
      </c>
      <c r="D8" s="3" t="s">
        <v>197</v>
      </c>
      <c r="E8" s="4" t="str">
        <f t="shared" si="2"/>
        <v>Value Stream Management:</v>
      </c>
      <c r="F8" s="4" t="s">
        <v>12</v>
      </c>
    </row>
    <row r="9" spans="1:6" ht="159.5" x14ac:dyDescent="0.35">
      <c r="A9" s="2" t="str">
        <f t="shared" si="0"/>
        <v>Align</v>
      </c>
      <c r="B9" s="4" t="s">
        <v>231</v>
      </c>
      <c r="C9" s="2" t="str">
        <f t="shared" si="3"/>
        <v>Strategy &amp; Investment Management</v>
      </c>
      <c r="D9" s="3" t="s">
        <v>197</v>
      </c>
      <c r="E9" s="4" t="str">
        <f t="shared" si="2"/>
        <v>Investment Management:</v>
      </c>
      <c r="F9" s="4" t="s">
        <v>13</v>
      </c>
    </row>
    <row r="10" spans="1:6" ht="159.5" x14ac:dyDescent="0.35">
      <c r="A10" s="2" t="str">
        <f t="shared" si="0"/>
        <v>Align</v>
      </c>
      <c r="B10" s="4" t="s">
        <v>231</v>
      </c>
      <c r="C10" s="2" t="s">
        <v>14</v>
      </c>
      <c r="D10" s="3" t="s">
        <v>198</v>
      </c>
      <c r="E10" s="4" t="str">
        <f t="shared" si="2"/>
        <v>Product Portfolio Management:</v>
      </c>
      <c r="F10" s="4" t="s">
        <v>15</v>
      </c>
    </row>
    <row r="11" spans="1:6" ht="159.5" x14ac:dyDescent="0.35">
      <c r="A11" s="2" t="str">
        <f t="shared" si="0"/>
        <v>Align</v>
      </c>
      <c r="B11" s="4" t="s">
        <v>231</v>
      </c>
      <c r="C11" s="2" t="str">
        <f>C10</f>
        <v>Product &amp; Service Lifecycle Management</v>
      </c>
      <c r="D11" s="3" t="s">
        <v>198</v>
      </c>
      <c r="E11" s="4" t="str">
        <f t="shared" si="2"/>
        <v>Service Portfolio Management:</v>
      </c>
      <c r="F11" s="4" t="s">
        <v>16</v>
      </c>
    </row>
    <row r="12" spans="1:6" ht="159.5" x14ac:dyDescent="0.35">
      <c r="A12" s="2" t="str">
        <f t="shared" si="0"/>
        <v>Align</v>
      </c>
      <c r="B12" s="4" t="s">
        <v>231</v>
      </c>
      <c r="C12" s="2" t="s">
        <v>17</v>
      </c>
      <c r="D12" s="3" t="s">
        <v>199</v>
      </c>
      <c r="E12" s="4" t="str">
        <f t="shared" si="2"/>
        <v>Vision Development:</v>
      </c>
      <c r="F12" s="4" t="s">
        <v>18</v>
      </c>
    </row>
    <row r="13" spans="1:6" ht="159.5" x14ac:dyDescent="0.35">
      <c r="A13" s="2" t="str">
        <f t="shared" si="0"/>
        <v>Align</v>
      </c>
      <c r="B13" s="4" t="s">
        <v>231</v>
      </c>
      <c r="C13" s="2" t="str">
        <f t="shared" ref="C13:C19" si="4">C12</f>
        <v>Enterprise Architecture &amp; IT Operating Model Management</v>
      </c>
      <c r="D13" s="3" t="s">
        <v>199</v>
      </c>
      <c r="E13" s="4" t="str">
        <f t="shared" si="2"/>
        <v>Architecture Component:</v>
      </c>
      <c r="F13" s="4" t="s">
        <v>19</v>
      </c>
    </row>
    <row r="14" spans="1:6" ht="159.5" x14ac:dyDescent="0.35">
      <c r="A14" s="2" t="str">
        <f t="shared" si="0"/>
        <v>Align</v>
      </c>
      <c r="B14" s="4" t="s">
        <v>231</v>
      </c>
      <c r="C14" s="2" t="str">
        <f t="shared" si="4"/>
        <v>Enterprise Architecture &amp; IT Operating Model Management</v>
      </c>
      <c r="D14" s="3" t="s">
        <v>199</v>
      </c>
      <c r="E14" s="4" t="str">
        <f t="shared" si="2"/>
        <v>Implementation Planning:</v>
      </c>
      <c r="F14" s="4" t="s">
        <v>20</v>
      </c>
    </row>
    <row r="15" spans="1:6" ht="159.5" x14ac:dyDescent="0.35">
      <c r="A15" s="2" t="str">
        <f t="shared" si="0"/>
        <v>Align</v>
      </c>
      <c r="B15" s="4" t="s">
        <v>231</v>
      </c>
      <c r="C15" s="2" t="str">
        <f t="shared" si="4"/>
        <v>Enterprise Architecture &amp; IT Operating Model Management</v>
      </c>
      <c r="D15" s="3" t="s">
        <v>199</v>
      </c>
      <c r="E15" s="4" t="str">
        <f t="shared" si="2"/>
        <v>Architecture Services Provisioning:</v>
      </c>
      <c r="F15" s="4" t="s">
        <v>21</v>
      </c>
    </row>
    <row r="16" spans="1:6" ht="159.5" x14ac:dyDescent="0.35">
      <c r="A16" s="2" t="str">
        <f t="shared" si="0"/>
        <v>Align</v>
      </c>
      <c r="B16" s="4" t="s">
        <v>231</v>
      </c>
      <c r="C16" s="2" t="str">
        <f t="shared" si="4"/>
        <v>Enterprise Architecture &amp; IT Operating Model Management</v>
      </c>
      <c r="D16" s="3" t="s">
        <v>199</v>
      </c>
      <c r="E16" s="4" t="str">
        <f t="shared" si="2"/>
        <v>IT Operating Model Design:</v>
      </c>
      <c r="F16" s="4" t="s">
        <v>22</v>
      </c>
    </row>
    <row r="17" spans="1:6" ht="159.5" x14ac:dyDescent="0.35">
      <c r="A17" s="2" t="str">
        <f t="shared" si="0"/>
        <v>Align</v>
      </c>
      <c r="B17" s="4" t="s">
        <v>231</v>
      </c>
      <c r="C17" s="2" t="str">
        <f t="shared" si="4"/>
        <v>Enterprise Architecture &amp; IT Operating Model Management</v>
      </c>
      <c r="D17" s="3" t="s">
        <v>199</v>
      </c>
      <c r="E17" s="4" t="str">
        <f t="shared" si="2"/>
        <v>IT Process Methodology Management:</v>
      </c>
      <c r="F17" s="4" t="s">
        <v>23</v>
      </c>
    </row>
    <row r="18" spans="1:6" ht="159.5" x14ac:dyDescent="0.35">
      <c r="A18" s="2" t="str">
        <f t="shared" si="0"/>
        <v>Align</v>
      </c>
      <c r="B18" s="4" t="s">
        <v>231</v>
      </c>
      <c r="C18" s="2" t="str">
        <f t="shared" si="4"/>
        <v>Enterprise Architecture &amp; IT Operating Model Management</v>
      </c>
      <c r="D18" s="3" t="s">
        <v>199</v>
      </c>
      <c r="E18" s="4" t="str">
        <f t="shared" si="2"/>
        <v>IT Performance Management:</v>
      </c>
      <c r="F18" s="4" t="s">
        <v>24</v>
      </c>
    </row>
    <row r="19" spans="1:6" ht="159.5" x14ac:dyDescent="0.35">
      <c r="A19" s="2" t="str">
        <f t="shared" si="0"/>
        <v>Align</v>
      </c>
      <c r="B19" s="4" t="s">
        <v>231</v>
      </c>
      <c r="C19" s="2" t="str">
        <f t="shared" si="4"/>
        <v>Enterprise Architecture &amp; IT Operating Model Management</v>
      </c>
      <c r="D19" s="3" t="s">
        <v>199</v>
      </c>
      <c r="E19" s="4" t="str">
        <f t="shared" si="2"/>
        <v>IT Governance Management:</v>
      </c>
      <c r="F19" s="4" t="s">
        <v>25</v>
      </c>
    </row>
    <row r="20" spans="1:6" ht="159.5" x14ac:dyDescent="0.35">
      <c r="A20" s="2" t="str">
        <f t="shared" si="0"/>
        <v>Align</v>
      </c>
      <c r="B20" s="4" t="s">
        <v>231</v>
      </c>
      <c r="C20" s="2" t="s">
        <v>26</v>
      </c>
      <c r="D20" s="3" t="s">
        <v>200</v>
      </c>
      <c r="E20" s="4" t="str">
        <f t="shared" si="2"/>
        <v>Vendor Strategy:</v>
      </c>
      <c r="F20" s="4" t="s">
        <v>27</v>
      </c>
    </row>
    <row r="21" spans="1:6" ht="159.5" x14ac:dyDescent="0.35">
      <c r="A21" s="2" t="str">
        <f t="shared" si="0"/>
        <v>Align</v>
      </c>
      <c r="B21" s="4" t="s">
        <v>231</v>
      </c>
      <c r="C21" s="2" t="str">
        <f t="shared" ref="C21:C23" si="5">C20</f>
        <v>IT Vendor Management</v>
      </c>
      <c r="D21" s="3" t="s">
        <v>200</v>
      </c>
      <c r="E21" s="4" t="str">
        <f t="shared" si="2"/>
        <v>Vendor Selection:</v>
      </c>
      <c r="F21" s="4" t="s">
        <v>28</v>
      </c>
    </row>
    <row r="22" spans="1:6" ht="159.5" x14ac:dyDescent="0.35">
      <c r="A22" s="2" t="str">
        <f t="shared" si="0"/>
        <v>Align</v>
      </c>
      <c r="B22" s="4" t="s">
        <v>231</v>
      </c>
      <c r="C22" s="2" t="str">
        <f t="shared" si="5"/>
        <v>IT Vendor Management</v>
      </c>
      <c r="D22" s="3" t="s">
        <v>200</v>
      </c>
      <c r="E22" s="4" t="str">
        <f t="shared" si="2"/>
        <v>Vendor Review:</v>
      </c>
      <c r="F22" s="4" t="s">
        <v>29</v>
      </c>
    </row>
    <row r="23" spans="1:6" ht="159.5" x14ac:dyDescent="0.35">
      <c r="A23" s="2" t="str">
        <f t="shared" si="0"/>
        <v>Align</v>
      </c>
      <c r="B23" s="4" t="s">
        <v>231</v>
      </c>
      <c r="C23" s="2" t="str">
        <f t="shared" si="5"/>
        <v>IT Vendor Management</v>
      </c>
      <c r="D23" s="3" t="s">
        <v>200</v>
      </c>
      <c r="E23" s="4" t="str">
        <f t="shared" si="2"/>
        <v>Vendor Change Scanning:</v>
      </c>
      <c r="F23" s="4" t="s">
        <v>30</v>
      </c>
    </row>
    <row r="24" spans="1:6" ht="261" x14ac:dyDescent="0.35">
      <c r="A24" s="2" t="s">
        <v>31</v>
      </c>
      <c r="B24" s="5" t="s">
        <v>232</v>
      </c>
      <c r="C24" s="2" t="s">
        <v>32</v>
      </c>
      <c r="E24" s="4" t="str">
        <f t="shared" si="2"/>
        <v>Portfolio Idea Management:</v>
      </c>
      <c r="F24" s="4" t="s">
        <v>33</v>
      </c>
    </row>
    <row r="25" spans="1:6" ht="261" x14ac:dyDescent="0.35">
      <c r="A25" s="2" t="str">
        <f t="shared" ref="A25:A44" si="6">A24</f>
        <v>Define</v>
      </c>
      <c r="B25" s="5" t="s">
        <v>232</v>
      </c>
      <c r="C25" s="2" t="str">
        <f t="shared" ref="C25:C28" si="7">C24</f>
        <v>IT Portfolio Management</v>
      </c>
      <c r="D25" s="3" t="s">
        <v>201</v>
      </c>
      <c r="E25" s="4" t="str">
        <f t="shared" si="2"/>
        <v>Portfolio Dependency Management:</v>
      </c>
      <c r="F25" s="4" t="s">
        <v>34</v>
      </c>
    </row>
    <row r="26" spans="1:6" ht="261" x14ac:dyDescent="0.35">
      <c r="A26" s="2" t="str">
        <f t="shared" si="6"/>
        <v>Define</v>
      </c>
      <c r="B26" s="5" t="s">
        <v>232</v>
      </c>
      <c r="C26" s="2" t="str">
        <f t="shared" si="7"/>
        <v>IT Portfolio Management</v>
      </c>
      <c r="D26" s="3" t="s">
        <v>201</v>
      </c>
      <c r="E26" s="4" t="str">
        <f t="shared" si="2"/>
        <v>Portfolio Backlog Management:</v>
      </c>
      <c r="F26" s="4" t="s">
        <v>35</v>
      </c>
    </row>
    <row r="27" spans="1:6" ht="261" x14ac:dyDescent="0.35">
      <c r="A27" s="2" t="str">
        <f t="shared" si="6"/>
        <v>Define</v>
      </c>
      <c r="B27" s="5" t="s">
        <v>232</v>
      </c>
      <c r="C27" s="2" t="str">
        <f t="shared" si="7"/>
        <v>IT Portfolio Management</v>
      </c>
      <c r="D27" s="3" t="s">
        <v>201</v>
      </c>
      <c r="E27" s="4" t="str">
        <f t="shared" si="2"/>
        <v>Portfolio Roadmap Management:</v>
      </c>
      <c r="F27" s="4" t="s">
        <v>36</v>
      </c>
    </row>
    <row r="28" spans="1:6" ht="261" x14ac:dyDescent="0.35">
      <c r="A28" s="2" t="str">
        <f t="shared" si="6"/>
        <v>Define</v>
      </c>
      <c r="B28" s="5" t="s">
        <v>232</v>
      </c>
      <c r="C28" s="2" t="str">
        <f t="shared" si="7"/>
        <v>IT Portfolio Management</v>
      </c>
      <c r="D28" s="3" t="s">
        <v>201</v>
      </c>
      <c r="E28" s="4" t="str">
        <f t="shared" si="2"/>
        <v>Portfolio Execution Monitoring:</v>
      </c>
      <c r="F28" s="4" t="s">
        <v>37</v>
      </c>
    </row>
    <row r="29" spans="1:6" ht="261" x14ac:dyDescent="0.35">
      <c r="A29" s="2" t="str">
        <f t="shared" si="6"/>
        <v>Define</v>
      </c>
      <c r="B29" s="5" t="s">
        <v>232</v>
      </c>
      <c r="C29" s="2" t="s">
        <v>38</v>
      </c>
      <c r="D29" s="3" t="s">
        <v>202</v>
      </c>
      <c r="E29" s="4" t="str">
        <f t="shared" si="2"/>
        <v>Program Idea Management:</v>
      </c>
      <c r="F29" s="4" t="s">
        <v>39</v>
      </c>
    </row>
    <row r="30" spans="1:6" ht="261" x14ac:dyDescent="0.35">
      <c r="A30" s="2" t="str">
        <f t="shared" si="6"/>
        <v>Define</v>
      </c>
      <c r="B30" s="5" t="s">
        <v>232</v>
      </c>
      <c r="C30" s="2" t="str">
        <f t="shared" ref="C30:C33" si="8">C29</f>
        <v>IT Program/Increment Management</v>
      </c>
      <c r="D30" s="3" t="s">
        <v>202</v>
      </c>
      <c r="E30" s="4" t="str">
        <f t="shared" si="2"/>
        <v>Program Dependency Management:</v>
      </c>
      <c r="F30" s="4" t="s">
        <v>40</v>
      </c>
    </row>
    <row r="31" spans="1:6" ht="261" x14ac:dyDescent="0.35">
      <c r="A31" s="2" t="str">
        <f t="shared" si="6"/>
        <v>Define</v>
      </c>
      <c r="B31" s="5" t="s">
        <v>232</v>
      </c>
      <c r="C31" s="2" t="str">
        <f t="shared" si="8"/>
        <v>IT Program/Increment Management</v>
      </c>
      <c r="D31" s="3" t="s">
        <v>202</v>
      </c>
      <c r="E31" s="4" t="str">
        <f t="shared" si="2"/>
        <v>Program Backlog Management:</v>
      </c>
      <c r="F31" s="4" t="s">
        <v>41</v>
      </c>
    </row>
    <row r="32" spans="1:6" ht="261" x14ac:dyDescent="0.35">
      <c r="A32" s="2" t="str">
        <f t="shared" si="6"/>
        <v>Define</v>
      </c>
      <c r="B32" s="5" t="s">
        <v>232</v>
      </c>
      <c r="C32" s="2" t="str">
        <f t="shared" si="8"/>
        <v>IT Program/Increment Management</v>
      </c>
      <c r="D32" s="3" t="s">
        <v>202</v>
      </c>
      <c r="E32" s="4" t="str">
        <f t="shared" si="2"/>
        <v>Program Roadmap Management:</v>
      </c>
      <c r="F32" s="4" t="s">
        <v>42</v>
      </c>
    </row>
    <row r="33" spans="1:6" ht="261" x14ac:dyDescent="0.35">
      <c r="A33" s="2" t="str">
        <f t="shared" si="6"/>
        <v>Define</v>
      </c>
      <c r="B33" s="5" t="s">
        <v>232</v>
      </c>
      <c r="C33" s="2" t="str">
        <f t="shared" si="8"/>
        <v>IT Program/Increment Management</v>
      </c>
      <c r="D33" s="3" t="s">
        <v>202</v>
      </c>
      <c r="E33" s="4" t="str">
        <f t="shared" si="2"/>
        <v>Program Execution Monitoring:</v>
      </c>
      <c r="F33" s="4" t="s">
        <v>43</v>
      </c>
    </row>
    <row r="34" spans="1:6" ht="261" x14ac:dyDescent="0.35">
      <c r="A34" s="2" t="str">
        <f t="shared" si="6"/>
        <v>Define</v>
      </c>
      <c r="B34" s="5" t="s">
        <v>232</v>
      </c>
      <c r="C34" s="2" t="s">
        <v>44</v>
      </c>
      <c r="D34" s="3" t="s">
        <v>203</v>
      </c>
      <c r="E34" s="4" t="str">
        <f t="shared" si="2"/>
        <v>Team Idea Management:</v>
      </c>
      <c r="F34" s="4" t="s">
        <v>45</v>
      </c>
    </row>
    <row r="35" spans="1:6" ht="261" x14ac:dyDescent="0.35">
      <c r="A35" s="2" t="str">
        <f t="shared" si="6"/>
        <v>Define</v>
      </c>
      <c r="B35" s="5" t="s">
        <v>232</v>
      </c>
      <c r="C35" s="2" t="str">
        <f t="shared" ref="C35:C38" si="9">C34</f>
        <v>IT Product/Team Management</v>
      </c>
      <c r="D35" s="3" t="s">
        <v>203</v>
      </c>
      <c r="E35" s="4" t="str">
        <f t="shared" si="2"/>
        <v>Team Dependency Management:</v>
      </c>
      <c r="F35" s="4" t="s">
        <v>46</v>
      </c>
    </row>
    <row r="36" spans="1:6" ht="261" x14ac:dyDescent="0.35">
      <c r="A36" s="2" t="str">
        <f t="shared" si="6"/>
        <v>Define</v>
      </c>
      <c r="B36" s="5" t="s">
        <v>232</v>
      </c>
      <c r="C36" s="2" t="str">
        <f t="shared" si="9"/>
        <v>IT Product/Team Management</v>
      </c>
      <c r="D36" s="3" t="s">
        <v>203</v>
      </c>
      <c r="E36" s="4" t="str">
        <f t="shared" si="2"/>
        <v>Team Backlog Management:</v>
      </c>
      <c r="F36" s="4" t="s">
        <v>47</v>
      </c>
    </row>
    <row r="37" spans="1:6" ht="261" x14ac:dyDescent="0.35">
      <c r="A37" s="2" t="str">
        <f t="shared" si="6"/>
        <v>Define</v>
      </c>
      <c r="B37" s="5" t="s">
        <v>232</v>
      </c>
      <c r="C37" s="2" t="str">
        <f t="shared" si="9"/>
        <v>IT Product/Team Management</v>
      </c>
      <c r="D37" s="3" t="s">
        <v>203</v>
      </c>
      <c r="E37" s="4" t="str">
        <f t="shared" si="2"/>
        <v>Team Roadmap Management:</v>
      </c>
      <c r="F37" s="4" t="s">
        <v>48</v>
      </c>
    </row>
    <row r="38" spans="1:6" ht="261" x14ac:dyDescent="0.35">
      <c r="A38" s="2" t="str">
        <f t="shared" si="6"/>
        <v>Define</v>
      </c>
      <c r="B38" s="5" t="s">
        <v>232</v>
      </c>
      <c r="C38" s="2" t="str">
        <f t="shared" si="9"/>
        <v>IT Product/Team Management</v>
      </c>
      <c r="D38" s="3" t="s">
        <v>203</v>
      </c>
      <c r="E38" s="4" t="str">
        <f t="shared" si="2"/>
        <v>Team Execution Monitoring:</v>
      </c>
      <c r="F38" s="4" t="s">
        <v>49</v>
      </c>
    </row>
    <row r="39" spans="1:6" ht="261" x14ac:dyDescent="0.35">
      <c r="A39" s="2" t="str">
        <f t="shared" si="6"/>
        <v>Define</v>
      </c>
      <c r="B39" s="5" t="s">
        <v>232</v>
      </c>
      <c r="C39" s="2" t="s">
        <v>50</v>
      </c>
      <c r="D39" s="3" t="s">
        <v>204</v>
      </c>
      <c r="E39" s="4" t="str">
        <f t="shared" si="2"/>
        <v>Architectural Strategy:</v>
      </c>
      <c r="F39" s="4" t="s">
        <v>51</v>
      </c>
    </row>
    <row r="40" spans="1:6" ht="261" x14ac:dyDescent="0.35">
      <c r="A40" s="2" t="str">
        <f t="shared" si="6"/>
        <v>Define</v>
      </c>
      <c r="B40" s="5" t="s">
        <v>232</v>
      </c>
      <c r="C40" s="2" t="str">
        <f t="shared" ref="C40:C44" si="10">C39</f>
        <v>Solution Architecture</v>
      </c>
      <c r="D40" s="3" t="s">
        <v>204</v>
      </c>
      <c r="E40" s="4" t="str">
        <f t="shared" si="2"/>
        <v>Technical Feasibility Analysis:</v>
      </c>
      <c r="F40" s="4" t="s">
        <v>52</v>
      </c>
    </row>
    <row r="41" spans="1:6" ht="261" x14ac:dyDescent="0.35">
      <c r="A41" s="2" t="str">
        <f t="shared" si="6"/>
        <v>Define</v>
      </c>
      <c r="B41" s="5" t="s">
        <v>232</v>
      </c>
      <c r="C41" s="2" t="str">
        <f t="shared" si="10"/>
        <v>Solution Architecture</v>
      </c>
      <c r="D41" s="3" t="s">
        <v>204</v>
      </c>
      <c r="E41" s="4" t="str">
        <f t="shared" si="2"/>
        <v>Solution Blueprint:</v>
      </c>
      <c r="F41" s="4" t="s">
        <v>53</v>
      </c>
    </row>
    <row r="42" spans="1:6" ht="261" x14ac:dyDescent="0.35">
      <c r="A42" s="2" t="str">
        <f t="shared" si="6"/>
        <v>Define</v>
      </c>
      <c r="B42" s="5" t="s">
        <v>232</v>
      </c>
      <c r="C42" s="2" t="str">
        <f t="shared" si="10"/>
        <v>Solution Architecture</v>
      </c>
      <c r="D42" s="3" t="s">
        <v>204</v>
      </c>
      <c r="E42" s="4" t="str">
        <f t="shared" si="2"/>
        <v>Integration Architecture Management:</v>
      </c>
      <c r="F42" s="4" t="s">
        <v>54</v>
      </c>
    </row>
    <row r="43" spans="1:6" ht="261" x14ac:dyDescent="0.35">
      <c r="A43" s="2" t="str">
        <f t="shared" si="6"/>
        <v>Define</v>
      </c>
      <c r="B43" s="5" t="s">
        <v>232</v>
      </c>
      <c r="C43" s="2" t="str">
        <f t="shared" si="10"/>
        <v>Solution Architecture</v>
      </c>
      <c r="D43" s="3" t="s">
        <v>204</v>
      </c>
      <c r="E43" s="4" t="str">
        <f t="shared" si="2"/>
        <v>Risk &amp; Compliance Management:</v>
      </c>
      <c r="F43" s="4" t="s">
        <v>55</v>
      </c>
    </row>
    <row r="44" spans="1:6" ht="261" x14ac:dyDescent="0.35">
      <c r="A44" s="2" t="str">
        <f t="shared" si="6"/>
        <v>Define</v>
      </c>
      <c r="B44" s="5" t="s">
        <v>232</v>
      </c>
      <c r="C44" s="2" t="str">
        <f t="shared" si="10"/>
        <v>Solution Architecture</v>
      </c>
      <c r="D44" s="3" t="s">
        <v>204</v>
      </c>
      <c r="E44" s="4" t="str">
        <f t="shared" si="2"/>
        <v>Innovation and Emerging Technologies:</v>
      </c>
      <c r="F44" s="4" t="s">
        <v>56</v>
      </c>
    </row>
    <row r="45" spans="1:6" ht="304.5" x14ac:dyDescent="0.35">
      <c r="A45" s="2" t="s">
        <v>57</v>
      </c>
      <c r="B45" s="5" t="s">
        <v>233</v>
      </c>
      <c r="C45" s="2" t="s">
        <v>58</v>
      </c>
      <c r="D45" s="3" t="s">
        <v>205</v>
      </c>
      <c r="E45" s="4" t="str">
        <f t="shared" si="2"/>
        <v>Hardware Management:</v>
      </c>
      <c r="F45" s="4" t="s">
        <v>59</v>
      </c>
    </row>
    <row r="46" spans="1:6" ht="304.5" x14ac:dyDescent="0.35">
      <c r="A46" s="2" t="str">
        <f t="shared" ref="A46:A65" si="11">A45</f>
        <v>Change</v>
      </c>
      <c r="B46" s="5" t="s">
        <v>233</v>
      </c>
      <c r="C46" s="2" t="str">
        <f>C45</f>
        <v>Device &amp; Endpoint Management</v>
      </c>
      <c r="D46" s="3" t="s">
        <v>205</v>
      </c>
      <c r="E46" s="4" t="str">
        <f t="shared" si="2"/>
        <v>Remote Management:</v>
      </c>
      <c r="F46" s="4" t="s">
        <v>60</v>
      </c>
    </row>
    <row r="47" spans="1:6" ht="304.5" x14ac:dyDescent="0.35">
      <c r="A47" s="2" t="str">
        <f t="shared" si="11"/>
        <v>Change</v>
      </c>
      <c r="B47" s="5" t="s">
        <v>233</v>
      </c>
      <c r="C47" s="2" t="s">
        <v>61</v>
      </c>
      <c r="D47" s="3" t="s">
        <v>206</v>
      </c>
      <c r="E47" s="4" t="str">
        <f t="shared" si="2"/>
        <v>Hardware Management:</v>
      </c>
      <c r="F47" s="4" t="s">
        <v>62</v>
      </c>
    </row>
    <row r="48" spans="1:6" ht="304.5" x14ac:dyDescent="0.35">
      <c r="A48" s="2" t="str">
        <f t="shared" si="11"/>
        <v>Change</v>
      </c>
      <c r="B48" s="5" t="s">
        <v>233</v>
      </c>
      <c r="C48" s="2" t="str">
        <f>C47</f>
        <v>Network Management</v>
      </c>
      <c r="D48" s="3" t="s">
        <v>206</v>
      </c>
      <c r="E48" s="4" t="str">
        <f t="shared" si="2"/>
        <v>Remote Management:</v>
      </c>
      <c r="F48" s="4" t="s">
        <v>63</v>
      </c>
    </row>
    <row r="49" spans="1:6" ht="304.5" x14ac:dyDescent="0.35">
      <c r="A49" s="2" t="str">
        <f t="shared" si="11"/>
        <v>Change</v>
      </c>
      <c r="B49" s="5" t="s">
        <v>233</v>
      </c>
      <c r="C49" s="2" t="s">
        <v>64</v>
      </c>
      <c r="D49" s="3" t="s">
        <v>207</v>
      </c>
      <c r="E49" s="4" t="str">
        <f t="shared" si="2"/>
        <v>Manage Virtual Hosting Environments:</v>
      </c>
      <c r="F49" s="4" t="s">
        <v>65</v>
      </c>
    </row>
    <row r="50" spans="1:6" ht="304.5" x14ac:dyDescent="0.35">
      <c r="A50" s="2" t="str">
        <f t="shared" si="11"/>
        <v>Change</v>
      </c>
      <c r="B50" s="5" t="s">
        <v>233</v>
      </c>
      <c r="C50" s="2" t="str">
        <f>C49</f>
        <v>Hosting Environment Management</v>
      </c>
      <c r="D50" s="3" t="s">
        <v>207</v>
      </c>
      <c r="E50" s="4" t="str">
        <f t="shared" si="2"/>
        <v>Manage Physical Hosting Infrastructure:</v>
      </c>
      <c r="F50" s="4" t="s">
        <v>66</v>
      </c>
    </row>
    <row r="51" spans="1:6" ht="304.5" x14ac:dyDescent="0.35">
      <c r="A51" s="2" t="str">
        <f t="shared" si="11"/>
        <v>Change</v>
      </c>
      <c r="B51" s="5" t="s">
        <v>233</v>
      </c>
      <c r="C51" s="2" t="s">
        <v>67</v>
      </c>
      <c r="D51" s="3" t="s">
        <v>208</v>
      </c>
      <c r="E51" s="4" t="str">
        <f t="shared" si="2"/>
        <v>Mainline &amp; Branch Management:</v>
      </c>
      <c r="F51" s="4" t="s">
        <v>68</v>
      </c>
    </row>
    <row r="52" spans="1:6" ht="304.5" x14ac:dyDescent="0.35">
      <c r="A52" s="2" t="str">
        <f t="shared" si="11"/>
        <v>Change</v>
      </c>
      <c r="B52" s="5" t="s">
        <v>233</v>
      </c>
      <c r="C52" s="2" t="str">
        <f t="shared" ref="C52:C55" si="12">C51</f>
        <v>Code &amp; Configuration Management</v>
      </c>
      <c r="D52" s="3" t="s">
        <v>208</v>
      </c>
      <c r="E52" s="4" t="str">
        <f t="shared" si="2"/>
        <v>Code Development:</v>
      </c>
      <c r="F52" s="4" t="s">
        <v>69</v>
      </c>
    </row>
    <row r="53" spans="1:6" ht="304.5" x14ac:dyDescent="0.35">
      <c r="A53" s="2" t="str">
        <f t="shared" si="11"/>
        <v>Change</v>
      </c>
      <c r="B53" s="5" t="s">
        <v>233</v>
      </c>
      <c r="C53" s="2" t="str">
        <f t="shared" si="12"/>
        <v>Code &amp; Configuration Management</v>
      </c>
      <c r="D53" s="3" t="s">
        <v>208</v>
      </c>
      <c r="E53" s="4" t="str">
        <f t="shared" si="2"/>
        <v>Unit Testing &amp; Debugging:</v>
      </c>
      <c r="F53" s="4" t="s">
        <v>70</v>
      </c>
    </row>
    <row r="54" spans="1:6" ht="304.5" x14ac:dyDescent="0.35">
      <c r="A54" s="2" t="str">
        <f t="shared" si="11"/>
        <v>Change</v>
      </c>
      <c r="B54" s="5" t="s">
        <v>233</v>
      </c>
      <c r="C54" s="2" t="str">
        <f t="shared" si="12"/>
        <v>Code &amp; Configuration Management</v>
      </c>
      <c r="D54" s="3" t="s">
        <v>208</v>
      </c>
      <c r="E54" s="4" t="str">
        <f t="shared" si="2"/>
        <v>Low Code/ No Code Configuration Management:</v>
      </c>
      <c r="F54" s="4" t="s">
        <v>71</v>
      </c>
    </row>
    <row r="55" spans="1:6" ht="304.5" x14ac:dyDescent="0.35">
      <c r="A55" s="2" t="str">
        <f t="shared" si="11"/>
        <v>Change</v>
      </c>
      <c r="B55" s="5" t="s">
        <v>233</v>
      </c>
      <c r="C55" s="2" t="str">
        <f t="shared" si="12"/>
        <v>Code &amp; Configuration Management</v>
      </c>
      <c r="D55" s="3" t="s">
        <v>208</v>
      </c>
      <c r="E55" s="4" t="str">
        <f t="shared" si="2"/>
        <v>Peer Review:</v>
      </c>
      <c r="F55" s="4" t="s">
        <v>72</v>
      </c>
    </row>
    <row r="56" spans="1:6" ht="304.5" x14ac:dyDescent="0.35">
      <c r="A56" s="2" t="str">
        <f t="shared" si="11"/>
        <v>Change</v>
      </c>
      <c r="B56" s="5" t="s">
        <v>233</v>
      </c>
      <c r="C56" s="2" t="s">
        <v>73</v>
      </c>
      <c r="D56" s="3" t="s">
        <v>209</v>
      </c>
      <c r="E56" s="4" t="str">
        <f t="shared" si="2"/>
        <v>API Design and Development:</v>
      </c>
      <c r="F56" s="4" t="s">
        <v>74</v>
      </c>
    </row>
    <row r="57" spans="1:6" ht="304.5" x14ac:dyDescent="0.35">
      <c r="A57" s="2" t="str">
        <f t="shared" si="11"/>
        <v>Change</v>
      </c>
      <c r="B57" s="5" t="s">
        <v>233</v>
      </c>
      <c r="C57" s="2" t="str">
        <f t="shared" ref="C57:C58" si="13">C56</f>
        <v>API &amp; Integration Management</v>
      </c>
      <c r="D57" s="3" t="s">
        <v>209</v>
      </c>
      <c r="E57" s="4" t="str">
        <f t="shared" si="2"/>
        <v>Data Mapping:</v>
      </c>
      <c r="F57" s="4" t="s">
        <v>75</v>
      </c>
    </row>
    <row r="58" spans="1:6" ht="304.5" x14ac:dyDescent="0.35">
      <c r="A58" s="2" t="str">
        <f t="shared" si="11"/>
        <v>Change</v>
      </c>
      <c r="B58" s="5" t="s">
        <v>233</v>
      </c>
      <c r="C58" s="2" t="str">
        <f t="shared" si="13"/>
        <v>API &amp; Integration Management</v>
      </c>
      <c r="D58" s="3" t="s">
        <v>209</v>
      </c>
      <c r="E58" s="4" t="str">
        <f t="shared" si="2"/>
        <v>Integration Review:</v>
      </c>
      <c r="F58" s="4" t="s">
        <v>76</v>
      </c>
    </row>
    <row r="59" spans="1:6" ht="304.5" x14ac:dyDescent="0.35">
      <c r="A59" s="2" t="str">
        <f t="shared" si="11"/>
        <v>Change</v>
      </c>
      <c r="B59" s="5" t="s">
        <v>233</v>
      </c>
      <c r="C59" s="2" t="s">
        <v>77</v>
      </c>
      <c r="D59" s="3" t="s">
        <v>210</v>
      </c>
      <c r="E59" s="4" t="str">
        <f t="shared" si="2"/>
        <v>Data Engineering:</v>
      </c>
      <c r="F59" s="4" t="s">
        <v>78</v>
      </c>
    </row>
    <row r="60" spans="1:6" ht="304.5" x14ac:dyDescent="0.35">
      <c r="A60" s="2" t="str">
        <f t="shared" si="11"/>
        <v>Change</v>
      </c>
      <c r="B60" s="5" t="s">
        <v>233</v>
      </c>
      <c r="C60" s="2" t="str">
        <f>C59</f>
        <v>Data Engineering &amp; Analytics Management</v>
      </c>
      <c r="D60" s="3" t="s">
        <v>210</v>
      </c>
      <c r="E60" s="4" t="str">
        <f t="shared" si="2"/>
        <v>Analytics Model Management:</v>
      </c>
      <c r="F60" s="4" t="s">
        <v>79</v>
      </c>
    </row>
    <row r="61" spans="1:6" ht="304.5" x14ac:dyDescent="0.35">
      <c r="A61" s="2" t="str">
        <f t="shared" si="11"/>
        <v>Change</v>
      </c>
      <c r="B61" s="5" t="s">
        <v>233</v>
      </c>
      <c r="C61" s="2" t="s">
        <v>80</v>
      </c>
      <c r="D61" s="3" t="s">
        <v>211</v>
      </c>
      <c r="E61" s="4" t="str">
        <f t="shared" si="2"/>
        <v>User Interface Design:</v>
      </c>
      <c r="F61" s="4" t="s">
        <v>81</v>
      </c>
    </row>
    <row r="62" spans="1:6" ht="304.5" x14ac:dyDescent="0.35">
      <c r="A62" s="2" t="str">
        <f t="shared" si="11"/>
        <v>Change</v>
      </c>
      <c r="B62" s="5" t="s">
        <v>233</v>
      </c>
      <c r="C62" s="2" t="str">
        <f t="shared" ref="C62:C63" si="14">C61</f>
        <v>User Interface &amp; Data Visualization Design</v>
      </c>
      <c r="D62" s="3" t="s">
        <v>211</v>
      </c>
      <c r="E62" s="4" t="str">
        <f t="shared" si="2"/>
        <v>Data Visualization Design:</v>
      </c>
      <c r="F62" s="4" t="s">
        <v>82</v>
      </c>
    </row>
    <row r="63" spans="1:6" ht="304.5" x14ac:dyDescent="0.35">
      <c r="A63" s="2" t="str">
        <f t="shared" si="11"/>
        <v>Change</v>
      </c>
      <c r="B63" s="5" t="s">
        <v>233</v>
      </c>
      <c r="C63" s="2" t="str">
        <f t="shared" si="14"/>
        <v>User Interface &amp; Data Visualization Design</v>
      </c>
      <c r="D63" s="3" t="s">
        <v>211</v>
      </c>
      <c r="E63" s="4" t="str">
        <f t="shared" si="2"/>
        <v>Experience Optimization:</v>
      </c>
      <c r="F63" s="4" t="s">
        <v>83</v>
      </c>
    </row>
    <row r="64" spans="1:6" ht="304.5" x14ac:dyDescent="0.35">
      <c r="A64" s="2" t="str">
        <f t="shared" si="11"/>
        <v>Change</v>
      </c>
      <c r="B64" s="5" t="s">
        <v>233</v>
      </c>
      <c r="C64" s="2" t="s">
        <v>84</v>
      </c>
      <c r="D64" s="3" t="s">
        <v>212</v>
      </c>
      <c r="E64" s="4" t="str">
        <f t="shared" si="2"/>
        <v>Identity Management:</v>
      </c>
      <c r="F64" s="4" t="s">
        <v>85</v>
      </c>
    </row>
    <row r="65" spans="1:6" ht="304.5" x14ac:dyDescent="0.35">
      <c r="A65" s="2" t="str">
        <f t="shared" si="11"/>
        <v>Change</v>
      </c>
      <c r="B65" s="5" t="s">
        <v>233</v>
      </c>
      <c r="C65" s="2" t="str">
        <f>C64</f>
        <v>Identity &amp; Access Management</v>
      </c>
      <c r="D65" s="3" t="s">
        <v>212</v>
      </c>
      <c r="E65" s="4" t="str">
        <f t="shared" si="2"/>
        <v>Access Management:</v>
      </c>
      <c r="F65" s="4" t="s">
        <v>86</v>
      </c>
    </row>
    <row r="66" spans="1:6" ht="319" x14ac:dyDescent="0.35">
      <c r="A66" s="2" t="s">
        <v>87</v>
      </c>
      <c r="B66" s="5" t="s">
        <v>234</v>
      </c>
      <c r="C66" s="2" t="s">
        <v>88</v>
      </c>
      <c r="D66" s="3" t="s">
        <v>213</v>
      </c>
      <c r="E66" s="4" t="str">
        <f t="shared" si="2"/>
        <v>Systems Integration Testing (SIT):</v>
      </c>
      <c r="F66" s="4" t="s">
        <v>89</v>
      </c>
    </row>
    <row r="67" spans="1:6" ht="319" x14ac:dyDescent="0.35">
      <c r="A67" s="2" t="str">
        <f t="shared" ref="A67:A81" si="15">A66</f>
        <v>Test</v>
      </c>
      <c r="B67" s="5" t="s">
        <v>234</v>
      </c>
      <c r="C67" s="2" t="str">
        <f t="shared" ref="C67:C69" si="16">C66</f>
        <v>Functional Test Management</v>
      </c>
      <c r="D67" s="3" t="s">
        <v>213</v>
      </c>
      <c r="E67" s="4" t="str">
        <f t="shared" ref="E67:E130" si="17">LEFT(F67, FIND(":", F67))</f>
        <v>User Acceptance Testing (UAT):</v>
      </c>
      <c r="F67" s="4" t="s">
        <v>90</v>
      </c>
    </row>
    <row r="68" spans="1:6" ht="319" x14ac:dyDescent="0.35">
      <c r="A68" s="2" t="str">
        <f t="shared" si="15"/>
        <v>Test</v>
      </c>
      <c r="B68" s="5" t="s">
        <v>234</v>
      </c>
      <c r="C68" s="2" t="str">
        <f t="shared" si="16"/>
        <v>Functional Test Management</v>
      </c>
      <c r="D68" s="3" t="s">
        <v>213</v>
      </c>
      <c r="E68" s="4" t="str">
        <f t="shared" si="17"/>
        <v>Regression Testing:</v>
      </c>
      <c r="F68" s="4" t="s">
        <v>91</v>
      </c>
    </row>
    <row r="69" spans="1:6" ht="319" x14ac:dyDescent="0.35">
      <c r="A69" s="2" t="str">
        <f t="shared" si="15"/>
        <v>Test</v>
      </c>
      <c r="B69" s="5" t="s">
        <v>234</v>
      </c>
      <c r="C69" s="2" t="str">
        <f t="shared" si="16"/>
        <v>Functional Test Management</v>
      </c>
      <c r="D69" s="3" t="s">
        <v>213</v>
      </c>
      <c r="E69" s="4" t="str">
        <f t="shared" si="17"/>
        <v>End-to-End Testing:</v>
      </c>
      <c r="F69" s="4" t="s">
        <v>92</v>
      </c>
    </row>
    <row r="70" spans="1:6" ht="319" x14ac:dyDescent="0.35">
      <c r="A70" s="2" t="str">
        <f t="shared" si="15"/>
        <v>Test</v>
      </c>
      <c r="B70" s="5" t="s">
        <v>234</v>
      </c>
      <c r="C70" s="2" t="s">
        <v>93</v>
      </c>
      <c r="D70" s="3" t="s">
        <v>214</v>
      </c>
      <c r="E70" s="4" t="str">
        <f t="shared" si="17"/>
        <v>Penetration Testing:</v>
      </c>
      <c r="F70" s="4" t="s">
        <v>94</v>
      </c>
    </row>
    <row r="71" spans="1:6" ht="319" x14ac:dyDescent="0.35">
      <c r="A71" s="2" t="str">
        <f t="shared" si="15"/>
        <v>Test</v>
      </c>
      <c r="B71" s="5" t="s">
        <v>234</v>
      </c>
      <c r="C71" s="2" t="str">
        <f t="shared" ref="C71:C73" si="18">C70</f>
        <v>Security Test Management</v>
      </c>
      <c r="D71" s="3" t="s">
        <v>214</v>
      </c>
      <c r="E71" s="4" t="str">
        <f t="shared" si="17"/>
        <v>Static Application Security Testing (SAST):</v>
      </c>
      <c r="F71" s="4" t="s">
        <v>95</v>
      </c>
    </row>
    <row r="72" spans="1:6" ht="319" x14ac:dyDescent="0.35">
      <c r="A72" s="2" t="str">
        <f t="shared" si="15"/>
        <v>Test</v>
      </c>
      <c r="B72" s="5" t="s">
        <v>234</v>
      </c>
      <c r="C72" s="2" t="str">
        <f t="shared" si="18"/>
        <v>Security Test Management</v>
      </c>
      <c r="D72" s="3" t="s">
        <v>214</v>
      </c>
      <c r="E72" s="4" t="str">
        <f t="shared" si="17"/>
        <v>Dynamic Application Security Testing (DAST):</v>
      </c>
      <c r="F72" s="4" t="s">
        <v>96</v>
      </c>
    </row>
    <row r="73" spans="1:6" ht="319" x14ac:dyDescent="0.35">
      <c r="A73" s="2" t="str">
        <f t="shared" si="15"/>
        <v>Test</v>
      </c>
      <c r="B73" s="5" t="s">
        <v>234</v>
      </c>
      <c r="C73" s="2" t="str">
        <f t="shared" si="18"/>
        <v>Security Test Management</v>
      </c>
      <c r="D73" s="3" t="s">
        <v>214</v>
      </c>
      <c r="E73" s="4" t="str">
        <f t="shared" si="17"/>
        <v>Resilience Testing:</v>
      </c>
      <c r="F73" s="4" t="s">
        <v>97</v>
      </c>
    </row>
    <row r="74" spans="1:6" ht="319" x14ac:dyDescent="0.35">
      <c r="A74" s="2" t="str">
        <f t="shared" si="15"/>
        <v>Test</v>
      </c>
      <c r="B74" s="5" t="s">
        <v>234</v>
      </c>
      <c r="C74" s="2" t="s">
        <v>98</v>
      </c>
      <c r="D74" s="3" t="s">
        <v>215</v>
      </c>
      <c r="E74" s="4" t="str">
        <f t="shared" si="17"/>
        <v>Performance Testing:</v>
      </c>
      <c r="F74" s="4" t="s">
        <v>99</v>
      </c>
    </row>
    <row r="75" spans="1:6" ht="319" x14ac:dyDescent="0.35">
      <c r="A75" s="2" t="str">
        <f t="shared" si="15"/>
        <v>Test</v>
      </c>
      <c r="B75" s="5" t="s">
        <v>234</v>
      </c>
      <c r="C75" s="2" t="str">
        <f t="shared" ref="C75:C77" si="19">C74</f>
        <v>Non-Functional Test Management</v>
      </c>
      <c r="D75" s="3" t="s">
        <v>215</v>
      </c>
      <c r="E75" s="4" t="str">
        <f t="shared" si="17"/>
        <v>Reliability Testing:</v>
      </c>
      <c r="F75" s="4" t="s">
        <v>100</v>
      </c>
    </row>
    <row r="76" spans="1:6" ht="319" x14ac:dyDescent="0.35">
      <c r="A76" s="2" t="str">
        <f t="shared" si="15"/>
        <v>Test</v>
      </c>
      <c r="B76" s="5" t="s">
        <v>234</v>
      </c>
      <c r="C76" s="2" t="str">
        <f t="shared" si="19"/>
        <v>Non-Functional Test Management</v>
      </c>
      <c r="D76" s="3" t="s">
        <v>215</v>
      </c>
      <c r="E76" s="4" t="str">
        <f t="shared" si="17"/>
        <v>Maintainability Testing:</v>
      </c>
      <c r="F76" s="4" t="s">
        <v>101</v>
      </c>
    </row>
    <row r="77" spans="1:6" ht="319" x14ac:dyDescent="0.35">
      <c r="A77" s="2" t="str">
        <f t="shared" si="15"/>
        <v>Test</v>
      </c>
      <c r="B77" s="5" t="s">
        <v>234</v>
      </c>
      <c r="C77" s="2" t="str">
        <f t="shared" si="19"/>
        <v>Non-Functional Test Management</v>
      </c>
      <c r="D77" s="3" t="s">
        <v>215</v>
      </c>
      <c r="E77" s="4" t="str">
        <f t="shared" si="17"/>
        <v>Experience &amp; Usability Testing:</v>
      </c>
      <c r="F77" s="4" t="s">
        <v>102</v>
      </c>
    </row>
    <row r="78" spans="1:6" ht="319" x14ac:dyDescent="0.35">
      <c r="A78" s="2" t="str">
        <f t="shared" si="15"/>
        <v>Test</v>
      </c>
      <c r="B78" s="5" t="s">
        <v>234</v>
      </c>
      <c r="C78" s="2" t="s">
        <v>103</v>
      </c>
      <c r="D78" s="3" t="s">
        <v>216</v>
      </c>
      <c r="E78" s="4" t="str">
        <f t="shared" si="17"/>
        <v>Hypothesis Management:</v>
      </c>
      <c r="F78" s="4" t="s">
        <v>104</v>
      </c>
    </row>
    <row r="79" spans="1:6" ht="319" x14ac:dyDescent="0.35">
      <c r="A79" s="2" t="str">
        <f t="shared" si="15"/>
        <v>Test</v>
      </c>
      <c r="B79" s="5" t="s">
        <v>234</v>
      </c>
      <c r="C79" s="2" t="str">
        <f t="shared" ref="C79:C81" si="20">C78</f>
        <v>Viability Test Management</v>
      </c>
      <c r="D79" s="3" t="s">
        <v>216</v>
      </c>
      <c r="E79" s="4" t="str">
        <f t="shared" si="17"/>
        <v>Experiment Design:</v>
      </c>
      <c r="F79" s="4" t="s">
        <v>105</v>
      </c>
    </row>
    <row r="80" spans="1:6" ht="319" x14ac:dyDescent="0.35">
      <c r="A80" s="2" t="str">
        <f t="shared" si="15"/>
        <v>Test</v>
      </c>
      <c r="B80" s="5" t="s">
        <v>234</v>
      </c>
      <c r="C80" s="2" t="str">
        <f t="shared" si="20"/>
        <v>Viability Test Management</v>
      </c>
      <c r="D80" s="3" t="s">
        <v>216</v>
      </c>
      <c r="E80" s="4" t="str">
        <f t="shared" si="17"/>
        <v>Viability Data Collection &amp; Analysis:</v>
      </c>
      <c r="F80" s="4" t="s">
        <v>106</v>
      </c>
    </row>
    <row r="81" spans="1:6" ht="319" x14ac:dyDescent="0.35">
      <c r="A81" s="2" t="str">
        <f t="shared" si="15"/>
        <v>Test</v>
      </c>
      <c r="B81" s="5" t="s">
        <v>234</v>
      </c>
      <c r="C81" s="2" t="str">
        <f t="shared" si="20"/>
        <v>Viability Test Management</v>
      </c>
      <c r="D81" s="3" t="s">
        <v>216</v>
      </c>
      <c r="E81" s="4" t="str">
        <f t="shared" si="17"/>
        <v>Experiment Management &amp; Review:</v>
      </c>
      <c r="F81" s="4" t="s">
        <v>107</v>
      </c>
    </row>
    <row r="82" spans="1:6" ht="217.5" x14ac:dyDescent="0.35">
      <c r="A82" s="2" t="s">
        <v>108</v>
      </c>
      <c r="B82" s="5" t="s">
        <v>235</v>
      </c>
      <c r="C82" s="2" t="s">
        <v>109</v>
      </c>
      <c r="D82" s="3" t="s">
        <v>217</v>
      </c>
      <c r="E82" s="4" t="str">
        <f t="shared" si="17"/>
        <v>User Impact Analysis:</v>
      </c>
      <c r="F82" s="4" t="s">
        <v>110</v>
      </c>
    </row>
    <row r="83" spans="1:6" ht="217.5" x14ac:dyDescent="0.35">
      <c r="A83" s="2" t="str">
        <f t="shared" ref="A83:A90" si="21">A82</f>
        <v>Deliver</v>
      </c>
      <c r="B83" s="5" t="s">
        <v>235</v>
      </c>
      <c r="C83" s="2" t="str">
        <f t="shared" ref="C83:C85" si="22">C82</f>
        <v>Change Readiness Management</v>
      </c>
      <c r="D83" s="3" t="s">
        <v>217</v>
      </c>
      <c r="E83" s="4" t="str">
        <f t="shared" si="17"/>
        <v>Readiness Assessment:</v>
      </c>
      <c r="F83" s="4" t="s">
        <v>111</v>
      </c>
    </row>
    <row r="84" spans="1:6" ht="217.5" x14ac:dyDescent="0.35">
      <c r="A84" s="2" t="str">
        <f t="shared" si="21"/>
        <v>Deliver</v>
      </c>
      <c r="B84" s="5" t="s">
        <v>235</v>
      </c>
      <c r="C84" s="2" t="str">
        <f t="shared" si="22"/>
        <v>Change Readiness Management</v>
      </c>
      <c r="D84" s="3" t="s">
        <v>217</v>
      </c>
      <c r="E84" s="4" t="str">
        <f t="shared" si="17"/>
        <v>Communications Management:</v>
      </c>
      <c r="F84" s="4" t="s">
        <v>112</v>
      </c>
    </row>
    <row r="85" spans="1:6" ht="217.5" x14ac:dyDescent="0.35">
      <c r="A85" s="2" t="str">
        <f t="shared" si="21"/>
        <v>Deliver</v>
      </c>
      <c r="B85" s="5" t="s">
        <v>235</v>
      </c>
      <c r="C85" s="2" t="str">
        <f t="shared" si="22"/>
        <v>Change Readiness Management</v>
      </c>
      <c r="D85" s="3" t="s">
        <v>217</v>
      </c>
      <c r="E85" s="4" t="str">
        <f t="shared" si="17"/>
        <v>Training:</v>
      </c>
      <c r="F85" s="4" t="s">
        <v>113</v>
      </c>
    </row>
    <row r="86" spans="1:6" ht="217.5" x14ac:dyDescent="0.35">
      <c r="A86" s="2" t="str">
        <f t="shared" si="21"/>
        <v>Deliver</v>
      </c>
      <c r="B86" s="5" t="s">
        <v>235</v>
      </c>
      <c r="C86" s="2" t="s">
        <v>114</v>
      </c>
      <c r="D86" s="3" t="s">
        <v>218</v>
      </c>
      <c r="E86" s="4" t="str">
        <f t="shared" si="17"/>
        <v>Change Planning &amp; Coordination:</v>
      </c>
      <c r="F86" s="4" t="s">
        <v>115</v>
      </c>
    </row>
    <row r="87" spans="1:6" ht="217.5" x14ac:dyDescent="0.35">
      <c r="A87" s="2" t="str">
        <f t="shared" si="21"/>
        <v>Deliver</v>
      </c>
      <c r="B87" s="5" t="s">
        <v>235</v>
      </c>
      <c r="C87" s="2" t="str">
        <f t="shared" ref="C87:C90" si="23">C86</f>
        <v>Change &amp; Release Management</v>
      </c>
      <c r="D87" s="3" t="s">
        <v>218</v>
      </c>
      <c r="E87" s="4" t="str">
        <f t="shared" si="17"/>
        <v>Release Planning &amp; Packaging:</v>
      </c>
      <c r="F87" s="4" t="s">
        <v>116</v>
      </c>
    </row>
    <row r="88" spans="1:6" ht="217.5" x14ac:dyDescent="0.35">
      <c r="A88" s="2" t="str">
        <f t="shared" si="21"/>
        <v>Deliver</v>
      </c>
      <c r="B88" s="5" t="s">
        <v>235</v>
      </c>
      <c r="C88" s="2" t="str">
        <f t="shared" si="23"/>
        <v>Change &amp; Release Management</v>
      </c>
      <c r="D88" s="3" t="s">
        <v>218</v>
      </c>
      <c r="E88" s="4" t="str">
        <f t="shared" si="17"/>
        <v>Deployment &amp; Transition:</v>
      </c>
      <c r="F88" s="4" t="s">
        <v>117</v>
      </c>
    </row>
    <row r="89" spans="1:6" ht="217.5" x14ac:dyDescent="0.35">
      <c r="A89" s="2" t="str">
        <f t="shared" si="21"/>
        <v>Deliver</v>
      </c>
      <c r="B89" s="5" t="s">
        <v>235</v>
      </c>
      <c r="C89" s="2" t="str">
        <f t="shared" si="23"/>
        <v>Change &amp; Release Management</v>
      </c>
      <c r="D89" s="3" t="s">
        <v>218</v>
      </c>
      <c r="E89" s="4" t="str">
        <f t="shared" si="17"/>
        <v>Monitoring &amp; Support:</v>
      </c>
      <c r="F89" s="4" t="s">
        <v>118</v>
      </c>
    </row>
    <row r="90" spans="1:6" ht="217.5" x14ac:dyDescent="0.35">
      <c r="A90" s="2" t="str">
        <f t="shared" si="21"/>
        <v>Deliver</v>
      </c>
      <c r="B90" s="5" t="s">
        <v>235</v>
      </c>
      <c r="C90" s="2" t="str">
        <f t="shared" si="23"/>
        <v>Change &amp; Release Management</v>
      </c>
      <c r="D90" s="3" t="s">
        <v>218</v>
      </c>
      <c r="E90" s="4" t="str">
        <f t="shared" si="17"/>
        <v>Review &amp; Continuous Improvement:</v>
      </c>
      <c r="F90" s="4" t="s">
        <v>119</v>
      </c>
    </row>
    <row r="91" spans="1:6" ht="188.5" x14ac:dyDescent="0.35">
      <c r="A91" s="2" t="s">
        <v>120</v>
      </c>
      <c r="B91" s="5" t="s">
        <v>236</v>
      </c>
      <c r="C91" s="2" t="s">
        <v>121</v>
      </c>
      <c r="D91" s="3" t="s">
        <v>219</v>
      </c>
      <c r="E91" s="4" t="str">
        <f t="shared" si="17"/>
        <v>Strategize, Plan and Evolve Knowledge:</v>
      </c>
      <c r="F91" s="4" t="s">
        <v>122</v>
      </c>
    </row>
    <row r="92" spans="1:6" ht="188.5" x14ac:dyDescent="0.35">
      <c r="A92" s="2" t="str">
        <f t="shared" ref="A92:A123" si="24">A91</f>
        <v>Sustain</v>
      </c>
      <c r="B92" s="5" t="s">
        <v>236</v>
      </c>
      <c r="C92" s="2" t="str">
        <f t="shared" ref="C92:C95" si="25">C91</f>
        <v>Knowledge Management</v>
      </c>
      <c r="D92" s="3" t="s">
        <v>219</v>
      </c>
      <c r="E92" s="4" t="str">
        <f t="shared" si="17"/>
        <v>Identify/Create New/Update Existing Knowledge:</v>
      </c>
      <c r="F92" s="4" t="s">
        <v>123</v>
      </c>
    </row>
    <row r="93" spans="1:6" ht="188.5" x14ac:dyDescent="0.35">
      <c r="A93" s="2" t="str">
        <f t="shared" si="24"/>
        <v>Sustain</v>
      </c>
      <c r="B93" s="5" t="s">
        <v>236</v>
      </c>
      <c r="C93" s="2" t="str">
        <f t="shared" si="25"/>
        <v>Knowledge Management</v>
      </c>
      <c r="D93" s="3" t="s">
        <v>219</v>
      </c>
      <c r="E93" s="4" t="str">
        <f t="shared" si="17"/>
        <v>Review/Approve/Publish Knowledge:</v>
      </c>
      <c r="F93" s="4" t="s">
        <v>124</v>
      </c>
    </row>
    <row r="94" spans="1:6" ht="188.5" x14ac:dyDescent="0.35">
      <c r="A94" s="2" t="str">
        <f t="shared" si="24"/>
        <v>Sustain</v>
      </c>
      <c r="B94" s="5" t="s">
        <v>236</v>
      </c>
      <c r="C94" s="2" t="str">
        <f t="shared" si="25"/>
        <v>Knowledge Management</v>
      </c>
      <c r="D94" s="3" t="s">
        <v>219</v>
      </c>
      <c r="E94" s="4" t="str">
        <f t="shared" si="17"/>
        <v>Search/View/Use Knowledge:</v>
      </c>
      <c r="F94" s="4" t="s">
        <v>125</v>
      </c>
    </row>
    <row r="95" spans="1:6" ht="188.5" x14ac:dyDescent="0.35">
      <c r="A95" s="2" t="str">
        <f t="shared" si="24"/>
        <v>Sustain</v>
      </c>
      <c r="B95" s="5" t="s">
        <v>236</v>
      </c>
      <c r="C95" s="2" t="str">
        <f t="shared" si="25"/>
        <v>Knowledge Management</v>
      </c>
      <c r="D95" s="3" t="s">
        <v>219</v>
      </c>
      <c r="E95" s="4" t="str">
        <f t="shared" si="17"/>
        <v>Retire Knowledge:</v>
      </c>
      <c r="F95" s="4" t="s">
        <v>126</v>
      </c>
    </row>
    <row r="96" spans="1:6" ht="188.5" x14ac:dyDescent="0.35">
      <c r="A96" s="2" t="str">
        <f t="shared" si="24"/>
        <v>Sustain</v>
      </c>
      <c r="B96" s="5" t="s">
        <v>236</v>
      </c>
      <c r="C96" s="2" t="s">
        <v>127</v>
      </c>
      <c r="D96" s="3" t="s">
        <v>220</v>
      </c>
      <c r="E96" s="4" t="str">
        <f t="shared" si="17"/>
        <v>Classify and Prioritize:</v>
      </c>
      <c r="F96" s="4" t="s">
        <v>128</v>
      </c>
    </row>
    <row r="97" spans="1:6" ht="188.5" x14ac:dyDescent="0.35">
      <c r="A97" s="2" t="str">
        <f t="shared" si="24"/>
        <v>Sustain</v>
      </c>
      <c r="B97" s="5" t="s">
        <v>236</v>
      </c>
      <c r="C97" s="2" t="str">
        <f t="shared" ref="C97:C100" si="26">C96</f>
        <v>Incident Management</v>
      </c>
      <c r="D97" s="3" t="s">
        <v>220</v>
      </c>
      <c r="E97" s="4" t="str">
        <f t="shared" si="17"/>
        <v>Investigate and Diagnose:</v>
      </c>
      <c r="F97" s="4" t="s">
        <v>129</v>
      </c>
    </row>
    <row r="98" spans="1:6" ht="188.5" x14ac:dyDescent="0.35">
      <c r="A98" s="2" t="str">
        <f t="shared" si="24"/>
        <v>Sustain</v>
      </c>
      <c r="B98" s="5" t="s">
        <v>236</v>
      </c>
      <c r="C98" s="2" t="str">
        <f t="shared" si="26"/>
        <v>Incident Management</v>
      </c>
      <c r="D98" s="3" t="s">
        <v>220</v>
      </c>
      <c r="E98" s="4" t="str">
        <f t="shared" si="17"/>
        <v>Resolve Incident:</v>
      </c>
      <c r="F98" s="4" t="s">
        <v>130</v>
      </c>
    </row>
    <row r="99" spans="1:6" ht="188.5" x14ac:dyDescent="0.35">
      <c r="A99" s="2" t="str">
        <f t="shared" si="24"/>
        <v>Sustain</v>
      </c>
      <c r="B99" s="5" t="s">
        <v>236</v>
      </c>
      <c r="C99" s="2" t="str">
        <f t="shared" si="26"/>
        <v>Incident Management</v>
      </c>
      <c r="D99" s="3" t="s">
        <v>220</v>
      </c>
      <c r="E99" s="4" t="str">
        <f t="shared" si="17"/>
        <v>Close Incident:</v>
      </c>
      <c r="F99" s="4" t="s">
        <v>131</v>
      </c>
    </row>
    <row r="100" spans="1:6" ht="188.5" x14ac:dyDescent="0.35">
      <c r="A100" s="2" t="str">
        <f t="shared" si="24"/>
        <v>Sustain</v>
      </c>
      <c r="B100" s="5" t="s">
        <v>236</v>
      </c>
      <c r="C100" s="2" t="str">
        <f t="shared" si="26"/>
        <v>Incident Management</v>
      </c>
      <c r="D100" s="3" t="s">
        <v>220</v>
      </c>
      <c r="E100" s="4" t="str">
        <f t="shared" si="17"/>
        <v>Manage Major Incident:</v>
      </c>
      <c r="F100" s="4" t="s">
        <v>132</v>
      </c>
    </row>
    <row r="101" spans="1:6" ht="188.5" x14ac:dyDescent="0.35">
      <c r="A101" s="2" t="str">
        <f t="shared" si="24"/>
        <v>Sustain</v>
      </c>
      <c r="B101" s="5" t="s">
        <v>236</v>
      </c>
      <c r="C101" s="2" t="s">
        <v>133</v>
      </c>
      <c r="D101" s="3" t="s">
        <v>221</v>
      </c>
      <c r="E101" s="4" t="str">
        <f t="shared" si="17"/>
        <v>Log, classify and prioritize:</v>
      </c>
      <c r="F101" s="4" t="s">
        <v>134</v>
      </c>
    </row>
    <row r="102" spans="1:6" ht="188.5" x14ac:dyDescent="0.35">
      <c r="A102" s="2" t="str">
        <f t="shared" si="24"/>
        <v>Sustain</v>
      </c>
      <c r="B102" s="5" t="s">
        <v>236</v>
      </c>
      <c r="C102" s="2" t="str">
        <f t="shared" ref="C102:C105" si="27">C101</f>
        <v>Problem Management</v>
      </c>
      <c r="D102" s="3" t="s">
        <v>221</v>
      </c>
      <c r="E102" s="4" t="str">
        <f t="shared" si="17"/>
        <v>Investigate and Diagnose:</v>
      </c>
      <c r="F102" s="4" t="s">
        <v>135</v>
      </c>
    </row>
    <row r="103" spans="1:6" ht="188.5" x14ac:dyDescent="0.35">
      <c r="A103" s="2" t="str">
        <f t="shared" si="24"/>
        <v>Sustain</v>
      </c>
      <c r="B103" s="5" t="s">
        <v>236</v>
      </c>
      <c r="C103" s="2" t="str">
        <f t="shared" si="27"/>
        <v>Problem Management</v>
      </c>
      <c r="D103" s="3" t="s">
        <v>221</v>
      </c>
      <c r="E103" s="4" t="str">
        <f t="shared" si="17"/>
        <v>Resolve problem:</v>
      </c>
      <c r="F103" s="4" t="s">
        <v>136</v>
      </c>
    </row>
    <row r="104" spans="1:6" ht="188.5" x14ac:dyDescent="0.35">
      <c r="A104" s="2" t="str">
        <f t="shared" si="24"/>
        <v>Sustain</v>
      </c>
      <c r="B104" s="5" t="s">
        <v>236</v>
      </c>
      <c r="C104" s="2" t="str">
        <f t="shared" si="27"/>
        <v>Problem Management</v>
      </c>
      <c r="D104" s="3" t="s">
        <v>221</v>
      </c>
      <c r="E104" s="4" t="str">
        <f t="shared" si="17"/>
        <v>Close record:</v>
      </c>
      <c r="F104" s="4" t="s">
        <v>137</v>
      </c>
    </row>
    <row r="105" spans="1:6" ht="188.5" x14ac:dyDescent="0.35">
      <c r="A105" s="2" t="str">
        <f t="shared" si="24"/>
        <v>Sustain</v>
      </c>
      <c r="B105" s="5" t="s">
        <v>236</v>
      </c>
      <c r="C105" s="2" t="str">
        <f t="shared" si="27"/>
        <v>Problem Management</v>
      </c>
      <c r="D105" s="3" t="s">
        <v>221</v>
      </c>
      <c r="E105" s="4" t="str">
        <f t="shared" si="17"/>
        <v>Known Error Control:</v>
      </c>
      <c r="F105" s="4" t="s">
        <v>138</v>
      </c>
    </row>
    <row r="106" spans="1:6" ht="188.5" x14ac:dyDescent="0.35">
      <c r="A106" s="2" t="str">
        <f t="shared" si="24"/>
        <v>Sustain</v>
      </c>
      <c r="B106" s="5" t="s">
        <v>236</v>
      </c>
      <c r="C106" s="2" t="s">
        <v>139</v>
      </c>
      <c r="D106" s="3" t="s">
        <v>222</v>
      </c>
      <c r="E106" s="4" t="str">
        <f t="shared" si="17"/>
        <v>Submit Request:</v>
      </c>
      <c r="F106" s="4" t="s">
        <v>140</v>
      </c>
    </row>
    <row r="107" spans="1:6" ht="188.5" x14ac:dyDescent="0.35">
      <c r="A107" s="2" t="str">
        <f t="shared" si="24"/>
        <v>Sustain</v>
      </c>
      <c r="B107" s="5" t="s">
        <v>236</v>
      </c>
      <c r="C107" s="2" t="str">
        <f t="shared" ref="C107:C111" si="28">C106</f>
        <v>Request Management</v>
      </c>
      <c r="D107" s="3" t="s">
        <v>222</v>
      </c>
      <c r="E107" s="4" t="str">
        <f t="shared" si="17"/>
        <v>Validate Request:</v>
      </c>
      <c r="F107" s="4" t="s">
        <v>141</v>
      </c>
    </row>
    <row r="108" spans="1:6" ht="188.5" x14ac:dyDescent="0.35">
      <c r="A108" s="2" t="str">
        <f t="shared" si="24"/>
        <v>Sustain</v>
      </c>
      <c r="B108" s="5" t="s">
        <v>236</v>
      </c>
      <c r="C108" s="2" t="str">
        <f t="shared" si="28"/>
        <v>Request Management</v>
      </c>
      <c r="D108" s="3" t="s">
        <v>222</v>
      </c>
      <c r="E108" s="4" t="str">
        <f t="shared" si="17"/>
        <v>Approve Request:</v>
      </c>
      <c r="F108" s="4" t="s">
        <v>142</v>
      </c>
    </row>
    <row r="109" spans="1:6" ht="188.5" x14ac:dyDescent="0.35">
      <c r="A109" s="2" t="str">
        <f t="shared" si="24"/>
        <v>Sustain</v>
      </c>
      <c r="B109" s="5" t="s">
        <v>236</v>
      </c>
      <c r="C109" s="2" t="str">
        <f t="shared" si="28"/>
        <v>Request Management</v>
      </c>
      <c r="D109" s="3" t="s">
        <v>222</v>
      </c>
      <c r="E109" s="4" t="str">
        <f t="shared" si="17"/>
        <v>Fulfill Request:</v>
      </c>
      <c r="F109" s="4" t="s">
        <v>143</v>
      </c>
    </row>
    <row r="110" spans="1:6" ht="188.5" x14ac:dyDescent="0.35">
      <c r="A110" s="2" t="str">
        <f t="shared" si="24"/>
        <v>Sustain</v>
      </c>
      <c r="B110" s="5" t="s">
        <v>236</v>
      </c>
      <c r="C110" s="2" t="str">
        <f t="shared" si="28"/>
        <v>Request Management</v>
      </c>
      <c r="D110" s="3" t="s">
        <v>222</v>
      </c>
      <c r="E110" s="4" t="str">
        <f t="shared" si="17"/>
        <v>Close Request:</v>
      </c>
      <c r="F110" s="4" t="s">
        <v>144</v>
      </c>
    </row>
    <row r="111" spans="1:6" ht="188.5" x14ac:dyDescent="0.35">
      <c r="A111" s="2" t="str">
        <f t="shared" si="24"/>
        <v>Sustain</v>
      </c>
      <c r="B111" s="5" t="s">
        <v>236</v>
      </c>
      <c r="C111" s="2" t="str">
        <f t="shared" si="28"/>
        <v>Request Management</v>
      </c>
      <c r="D111" s="3" t="s">
        <v>222</v>
      </c>
      <c r="E111" s="4" t="str">
        <f t="shared" si="17"/>
        <v>Cancel Request:</v>
      </c>
      <c r="F111" s="4" t="s">
        <v>145</v>
      </c>
    </row>
    <row r="112" spans="1:6" ht="188.5" x14ac:dyDescent="0.35">
      <c r="A112" s="2" t="str">
        <f t="shared" si="24"/>
        <v>Sustain</v>
      </c>
      <c r="B112" s="5" t="s">
        <v>236</v>
      </c>
      <c r="C112" s="2" t="s">
        <v>146</v>
      </c>
      <c r="D112" s="3" t="s">
        <v>223</v>
      </c>
      <c r="E112" s="4" t="str">
        <f t="shared" si="17"/>
        <v>Event Detection &amp; Logging:</v>
      </c>
      <c r="F112" s="4" t="s">
        <v>147</v>
      </c>
    </row>
    <row r="113" spans="1:6" ht="188.5" x14ac:dyDescent="0.35">
      <c r="A113" s="2" t="str">
        <f t="shared" si="24"/>
        <v>Sustain</v>
      </c>
      <c r="B113" s="5" t="s">
        <v>236</v>
      </c>
      <c r="C113" s="2" t="str">
        <f t="shared" ref="C113:C115" si="29">C112</f>
        <v>Monitoring &amp; Event Management</v>
      </c>
      <c r="D113" s="3" t="s">
        <v>223</v>
      </c>
      <c r="E113" s="4" t="str">
        <f t="shared" si="17"/>
        <v>Event Correlation &amp; Filtering:</v>
      </c>
      <c r="F113" s="4" t="s">
        <v>148</v>
      </c>
    </row>
    <row r="114" spans="1:6" ht="188.5" x14ac:dyDescent="0.35">
      <c r="A114" s="2" t="str">
        <f t="shared" si="24"/>
        <v>Sustain</v>
      </c>
      <c r="B114" s="5" t="s">
        <v>236</v>
      </c>
      <c r="C114" s="2" t="str">
        <f t="shared" si="29"/>
        <v>Monitoring &amp; Event Management</v>
      </c>
      <c r="D114" s="3" t="s">
        <v>223</v>
      </c>
      <c r="E114" s="4" t="str">
        <f t="shared" si="17"/>
        <v>Event Response &amp; Reporting:</v>
      </c>
      <c r="F114" s="4" t="s">
        <v>149</v>
      </c>
    </row>
    <row r="115" spans="1:6" ht="188.5" x14ac:dyDescent="0.35">
      <c r="A115" s="2" t="str">
        <f t="shared" si="24"/>
        <v>Sustain</v>
      </c>
      <c r="B115" s="5" t="s">
        <v>236</v>
      </c>
      <c r="C115" s="2" t="str">
        <f t="shared" si="29"/>
        <v>Monitoring &amp; Event Management</v>
      </c>
      <c r="D115" s="3" t="s">
        <v>223</v>
      </c>
      <c r="E115" s="4" t="str">
        <f t="shared" si="17"/>
        <v>Review &amp; Closure:</v>
      </c>
      <c r="F115" s="4" t="s">
        <v>150</v>
      </c>
    </row>
    <row r="116" spans="1:6" ht="188.5" x14ac:dyDescent="0.35">
      <c r="A116" s="2" t="str">
        <f t="shared" si="24"/>
        <v>Sustain</v>
      </c>
      <c r="B116" s="5" t="s">
        <v>236</v>
      </c>
      <c r="C116" s="2" t="s">
        <v>151</v>
      </c>
      <c r="D116" s="3" t="s">
        <v>224</v>
      </c>
      <c r="E116" s="4" t="str">
        <f t="shared" si="17"/>
        <v>Asset &amp; Configuration Identification:</v>
      </c>
      <c r="F116" s="4" t="s">
        <v>152</v>
      </c>
    </row>
    <row r="117" spans="1:6" ht="188.5" x14ac:dyDescent="0.35">
      <c r="A117" s="2" t="str">
        <f t="shared" si="24"/>
        <v>Sustain</v>
      </c>
      <c r="B117" s="5" t="s">
        <v>236</v>
      </c>
      <c r="C117" s="2" t="str">
        <f t="shared" ref="C117:C121" si="30">C116</f>
        <v>Service Asset &amp; Configuration Management</v>
      </c>
      <c r="D117" s="3" t="s">
        <v>224</v>
      </c>
      <c r="E117" s="4" t="str">
        <f t="shared" si="17"/>
        <v>Asset &amp; Configuration Tracking:</v>
      </c>
      <c r="F117" s="4" t="s">
        <v>153</v>
      </c>
    </row>
    <row r="118" spans="1:6" ht="188.5" x14ac:dyDescent="0.35">
      <c r="A118" s="2" t="str">
        <f t="shared" si="24"/>
        <v>Sustain</v>
      </c>
      <c r="B118" s="5" t="s">
        <v>236</v>
      </c>
      <c r="C118" s="2" t="str">
        <f t="shared" si="30"/>
        <v>Service Asset &amp; Configuration Management</v>
      </c>
      <c r="D118" s="3" t="s">
        <v>224</v>
      </c>
      <c r="E118" s="4" t="str">
        <f t="shared" si="17"/>
        <v>Planning &amp; Control:</v>
      </c>
      <c r="F118" s="4" t="s">
        <v>154</v>
      </c>
    </row>
    <row r="119" spans="1:6" ht="188.5" x14ac:dyDescent="0.35">
      <c r="A119" s="2" t="str">
        <f t="shared" si="24"/>
        <v>Sustain</v>
      </c>
      <c r="B119" s="5" t="s">
        <v>236</v>
      </c>
      <c r="C119" s="2" t="str">
        <f t="shared" si="30"/>
        <v>Service Asset &amp; Configuration Management</v>
      </c>
      <c r="D119" s="3" t="s">
        <v>224</v>
      </c>
      <c r="E119" s="4" t="str">
        <f t="shared" si="17"/>
        <v>Verification &amp; Audit:</v>
      </c>
      <c r="F119" s="4" t="s">
        <v>155</v>
      </c>
    </row>
    <row r="120" spans="1:6" ht="188.5" x14ac:dyDescent="0.35">
      <c r="A120" s="2" t="str">
        <f t="shared" si="24"/>
        <v>Sustain</v>
      </c>
      <c r="B120" s="5" t="s">
        <v>236</v>
      </c>
      <c r="C120" s="2" t="str">
        <f t="shared" si="30"/>
        <v>Service Asset &amp; Configuration Management</v>
      </c>
      <c r="D120" s="3" t="s">
        <v>224</v>
      </c>
      <c r="E120" s="4" t="str">
        <f t="shared" si="17"/>
        <v>Status Accounting &amp; Reporting:</v>
      </c>
      <c r="F120" s="4" t="s">
        <v>156</v>
      </c>
    </row>
    <row r="121" spans="1:6" ht="188.5" x14ac:dyDescent="0.35">
      <c r="A121" s="2" t="str">
        <f t="shared" si="24"/>
        <v>Sustain</v>
      </c>
      <c r="B121" s="5" t="s">
        <v>236</v>
      </c>
      <c r="C121" s="2" t="str">
        <f t="shared" si="30"/>
        <v>Service Asset &amp; Configuration Management</v>
      </c>
      <c r="D121" s="3" t="s">
        <v>224</v>
      </c>
      <c r="E121" s="4" t="str">
        <f t="shared" si="17"/>
        <v>Disposal &amp; Decommissioning Management:</v>
      </c>
      <c r="F121" s="4" t="s">
        <v>157</v>
      </c>
    </row>
    <row r="122" spans="1:6" ht="188.5" x14ac:dyDescent="0.35">
      <c r="A122" s="2" t="str">
        <f t="shared" si="24"/>
        <v>Sustain</v>
      </c>
      <c r="B122" s="5" t="s">
        <v>236</v>
      </c>
      <c r="C122" s="2" t="s">
        <v>158</v>
      </c>
      <c r="D122" s="3" t="s">
        <v>225</v>
      </c>
      <c r="E122" s="4" t="str">
        <f t="shared" si="17"/>
        <v>Threat Intelligence:</v>
      </c>
      <c r="F122" s="4" t="s">
        <v>159</v>
      </c>
    </row>
    <row r="123" spans="1:6" ht="188.5" x14ac:dyDescent="0.35">
      <c r="A123" s="2" t="str">
        <f t="shared" si="24"/>
        <v>Sustain</v>
      </c>
      <c r="B123" s="5" t="s">
        <v>236</v>
      </c>
      <c r="C123" s="2" t="str">
        <f t="shared" ref="C123:C124" si="31">C122</f>
        <v>Threat Detection &amp; Response Management</v>
      </c>
      <c r="D123" s="3" t="s">
        <v>225</v>
      </c>
      <c r="E123" s="4" t="str">
        <f t="shared" si="17"/>
        <v>Threat Detection:</v>
      </c>
      <c r="F123" s="4" t="s">
        <v>160</v>
      </c>
    </row>
    <row r="124" spans="1:6" ht="188.5" x14ac:dyDescent="0.35">
      <c r="A124" s="2" t="str">
        <f t="shared" ref="A124:A151" si="32">A123</f>
        <v>Sustain</v>
      </c>
      <c r="B124" s="5" t="s">
        <v>236</v>
      </c>
      <c r="C124" s="2" t="str">
        <f t="shared" si="31"/>
        <v>Threat Detection &amp; Response Management</v>
      </c>
      <c r="D124" s="3" t="s">
        <v>225</v>
      </c>
      <c r="E124" s="4" t="str">
        <f t="shared" si="17"/>
        <v>Threat Response:</v>
      </c>
      <c r="F124" s="4" t="s">
        <v>161</v>
      </c>
    </row>
    <row r="125" spans="1:6" ht="188.5" x14ac:dyDescent="0.35">
      <c r="A125" s="2" t="str">
        <f t="shared" si="32"/>
        <v>Sustain</v>
      </c>
      <c r="B125" s="5" t="s">
        <v>236</v>
      </c>
      <c r="C125" s="2" t="s">
        <v>162</v>
      </c>
      <c r="D125" s="3" t="s">
        <v>226</v>
      </c>
      <c r="E125" s="4" t="str">
        <f t="shared" si="17"/>
        <v>IT Risk Management:</v>
      </c>
      <c r="F125" s="4" t="s">
        <v>163</v>
      </c>
    </row>
    <row r="126" spans="1:6" ht="188.5" x14ac:dyDescent="0.35">
      <c r="A126" s="2" t="str">
        <f t="shared" si="32"/>
        <v>Sustain</v>
      </c>
      <c r="B126" s="5" t="s">
        <v>236</v>
      </c>
      <c r="C126" s="2" t="str">
        <f t="shared" ref="C126:C129" si="33">C125</f>
        <v>IT Risk &amp; Compliance Management</v>
      </c>
      <c r="D126" s="3" t="s">
        <v>226</v>
      </c>
      <c r="E126" s="4" t="str">
        <f t="shared" si="17"/>
        <v>Policy &amp; Controls Management:</v>
      </c>
      <c r="F126" s="4" t="s">
        <v>164</v>
      </c>
    </row>
    <row r="127" spans="1:6" ht="188.5" x14ac:dyDescent="0.35">
      <c r="A127" s="2" t="str">
        <f t="shared" si="32"/>
        <v>Sustain</v>
      </c>
      <c r="B127" s="5" t="s">
        <v>236</v>
      </c>
      <c r="C127" s="2" t="str">
        <f t="shared" si="33"/>
        <v>IT Risk &amp; Compliance Management</v>
      </c>
      <c r="D127" s="3" t="s">
        <v>226</v>
      </c>
      <c r="E127" s="4" t="str">
        <f t="shared" si="17"/>
        <v>Compliance Management:</v>
      </c>
      <c r="F127" s="4" t="s">
        <v>165</v>
      </c>
    </row>
    <row r="128" spans="1:6" ht="188.5" x14ac:dyDescent="0.35">
      <c r="A128" s="2" t="str">
        <f t="shared" si="32"/>
        <v>Sustain</v>
      </c>
      <c r="B128" s="5" t="s">
        <v>236</v>
      </c>
      <c r="C128" s="2" t="str">
        <f t="shared" si="33"/>
        <v>IT Risk &amp; Compliance Management</v>
      </c>
      <c r="D128" s="3" t="s">
        <v>226</v>
      </c>
      <c r="E128" s="4" t="str">
        <f t="shared" si="17"/>
        <v>Third Party Risk Management:</v>
      </c>
      <c r="F128" s="4" t="s">
        <v>166</v>
      </c>
    </row>
    <row r="129" spans="1:6" ht="188.5" x14ac:dyDescent="0.35">
      <c r="A129" s="2" t="str">
        <f t="shared" si="32"/>
        <v>Sustain</v>
      </c>
      <c r="B129" s="5" t="s">
        <v>236</v>
      </c>
      <c r="C129" s="2" t="str">
        <f t="shared" si="33"/>
        <v>IT Risk &amp; Compliance Management</v>
      </c>
      <c r="D129" s="3" t="s">
        <v>226</v>
      </c>
      <c r="E129" s="4" t="str">
        <f t="shared" si="17"/>
        <v>Internal Controls Assessment:</v>
      </c>
      <c r="F129" s="4" t="s">
        <v>167</v>
      </c>
    </row>
    <row r="130" spans="1:6" ht="188.5" x14ac:dyDescent="0.35">
      <c r="A130" s="2" t="str">
        <f t="shared" si="32"/>
        <v>Sustain</v>
      </c>
      <c r="B130" s="5" t="s">
        <v>236</v>
      </c>
      <c r="C130" s="2" t="s">
        <v>168</v>
      </c>
      <c r="D130" s="3" t="s">
        <v>227</v>
      </c>
      <c r="E130" s="4" t="str">
        <f t="shared" si="17"/>
        <v>Resilience Assessment:</v>
      </c>
      <c r="F130" s="4" t="s">
        <v>169</v>
      </c>
    </row>
    <row r="131" spans="1:6" ht="188.5" x14ac:dyDescent="0.35">
      <c r="A131" s="2" t="str">
        <f t="shared" si="32"/>
        <v>Sustain</v>
      </c>
      <c r="B131" s="5" t="s">
        <v>236</v>
      </c>
      <c r="C131" s="2" t="str">
        <f t="shared" ref="C131:C133" si="34">C130</f>
        <v>Recovery &amp; Resiliency Management</v>
      </c>
      <c r="D131" s="3" t="s">
        <v>227</v>
      </c>
      <c r="E131" s="4" t="str">
        <f t="shared" ref="E131:E151" si="35">LEFT(F131, FIND(":", F131))</f>
        <v>Resilience Planning:</v>
      </c>
      <c r="F131" s="4" t="s">
        <v>170</v>
      </c>
    </row>
    <row r="132" spans="1:6" ht="188.5" x14ac:dyDescent="0.35">
      <c r="A132" s="2" t="str">
        <f t="shared" si="32"/>
        <v>Sustain</v>
      </c>
      <c r="B132" s="5" t="s">
        <v>236</v>
      </c>
      <c r="C132" s="2" t="str">
        <f t="shared" si="34"/>
        <v>Recovery &amp; Resiliency Management</v>
      </c>
      <c r="D132" s="3" t="s">
        <v>227</v>
      </c>
      <c r="E132" s="4" t="str">
        <f t="shared" si="35"/>
        <v>Resilience Implementation:</v>
      </c>
      <c r="F132" s="4" t="s">
        <v>171</v>
      </c>
    </row>
    <row r="133" spans="1:6" ht="188.5" x14ac:dyDescent="0.35">
      <c r="A133" s="2" t="str">
        <f t="shared" si="32"/>
        <v>Sustain</v>
      </c>
      <c r="B133" s="5" t="s">
        <v>236</v>
      </c>
      <c r="C133" s="2" t="str">
        <f t="shared" si="34"/>
        <v>Recovery &amp; Resiliency Management</v>
      </c>
      <c r="D133" s="3" t="s">
        <v>227</v>
      </c>
      <c r="E133" s="4" t="str">
        <f t="shared" si="35"/>
        <v>Recovery Drilling:</v>
      </c>
      <c r="F133" s="4" t="s">
        <v>172</v>
      </c>
    </row>
    <row r="134" spans="1:6" ht="203" x14ac:dyDescent="0.35">
      <c r="A134" s="2" t="str">
        <f t="shared" si="32"/>
        <v>Sustain</v>
      </c>
      <c r="B134" s="5" t="s">
        <v>236</v>
      </c>
      <c r="C134" s="2" t="s">
        <v>173</v>
      </c>
      <c r="D134" s="3" t="s">
        <v>228</v>
      </c>
      <c r="E134" s="4" t="str">
        <f t="shared" si="35"/>
        <v>Data Strategy:</v>
      </c>
      <c r="F134" s="4" t="s">
        <v>174</v>
      </c>
    </row>
    <row r="135" spans="1:6" ht="188.5" x14ac:dyDescent="0.35">
      <c r="A135" s="2" t="str">
        <f t="shared" si="32"/>
        <v>Sustain</v>
      </c>
      <c r="B135" s="5" t="s">
        <v>236</v>
      </c>
      <c r="C135" s="2" t="str">
        <f t="shared" ref="C135:C139" si="36">C134</f>
        <v>Data Management &amp; Governance</v>
      </c>
      <c r="D135" s="3" t="s">
        <v>228</v>
      </c>
      <c r="E135" s="4" t="str">
        <f t="shared" si="35"/>
        <v>Data Ethics:</v>
      </c>
      <c r="F135" s="4" t="s">
        <v>175</v>
      </c>
    </row>
    <row r="136" spans="1:6" ht="217.5" x14ac:dyDescent="0.35">
      <c r="A136" s="2" t="str">
        <f t="shared" si="32"/>
        <v>Sustain</v>
      </c>
      <c r="B136" s="5" t="s">
        <v>236</v>
      </c>
      <c r="C136" s="2" t="str">
        <f t="shared" si="36"/>
        <v>Data Management &amp; Governance</v>
      </c>
      <c r="D136" s="3" t="s">
        <v>228</v>
      </c>
      <c r="E136" s="4" t="str">
        <f t="shared" si="35"/>
        <v>Data Technology Architecture:</v>
      </c>
      <c r="F136" s="4" t="s">
        <v>176</v>
      </c>
    </row>
    <row r="137" spans="1:6" ht="188.5" x14ac:dyDescent="0.35">
      <c r="A137" s="2" t="str">
        <f t="shared" si="32"/>
        <v>Sustain</v>
      </c>
      <c r="B137" s="5" t="s">
        <v>236</v>
      </c>
      <c r="C137" s="2" t="str">
        <f t="shared" si="36"/>
        <v>Data Management &amp; Governance</v>
      </c>
      <c r="D137" s="3" t="s">
        <v>228</v>
      </c>
      <c r="E137" s="4" t="str">
        <f t="shared" si="35"/>
        <v>Data Quality Management:</v>
      </c>
      <c r="F137" s="4" t="s">
        <v>177</v>
      </c>
    </row>
    <row r="138" spans="1:6" ht="203" x14ac:dyDescent="0.35">
      <c r="A138" s="2" t="str">
        <f t="shared" si="32"/>
        <v>Sustain</v>
      </c>
      <c r="B138" s="5" t="s">
        <v>236</v>
      </c>
      <c r="C138" s="2" t="str">
        <f t="shared" si="36"/>
        <v>Data Management &amp; Governance</v>
      </c>
      <c r="D138" s="3" t="s">
        <v>228</v>
      </c>
      <c r="E138" s="4" t="str">
        <f t="shared" si="35"/>
        <v>Data Governance:</v>
      </c>
      <c r="F138" s="4" t="s">
        <v>178</v>
      </c>
    </row>
    <row r="139" spans="1:6" ht="203" x14ac:dyDescent="0.35">
      <c r="A139" s="2" t="str">
        <f t="shared" si="32"/>
        <v>Sustain</v>
      </c>
      <c r="B139" s="5" t="s">
        <v>236</v>
      </c>
      <c r="C139" s="2" t="str">
        <f t="shared" si="36"/>
        <v>Data Management &amp; Governance</v>
      </c>
      <c r="D139" s="3" t="s">
        <v>228</v>
      </c>
      <c r="E139" s="4" t="str">
        <f t="shared" si="35"/>
        <v>Data Architecture:</v>
      </c>
      <c r="F139" s="4" t="s">
        <v>179</v>
      </c>
    </row>
    <row r="140" spans="1:6" ht="188.5" x14ac:dyDescent="0.35">
      <c r="A140" s="2" t="str">
        <f t="shared" si="32"/>
        <v>Sustain</v>
      </c>
      <c r="B140" s="5" t="s">
        <v>236</v>
      </c>
      <c r="C140" s="2" t="s">
        <v>180</v>
      </c>
      <c r="D140" s="3" t="s">
        <v>229</v>
      </c>
      <c r="E140" s="4" t="str">
        <f t="shared" si="35"/>
        <v>Job Architecture:</v>
      </c>
      <c r="F140" s="4" t="s">
        <v>181</v>
      </c>
    </row>
    <row r="141" spans="1:6" ht="188.5" x14ac:dyDescent="0.35">
      <c r="A141" s="2" t="str">
        <f t="shared" si="32"/>
        <v>Sustain</v>
      </c>
      <c r="B141" s="5" t="s">
        <v>236</v>
      </c>
      <c r="C141" s="2" t="str">
        <f t="shared" ref="C141:C148" si="37">C140</f>
        <v>IT Talent &amp; Communications Management</v>
      </c>
      <c r="D141" s="3" t="s">
        <v>229</v>
      </c>
      <c r="E141" s="4" t="str">
        <f t="shared" si="35"/>
        <v>Talent Acquisition:</v>
      </c>
      <c r="F141" s="4" t="s">
        <v>182</v>
      </c>
    </row>
    <row r="142" spans="1:6" ht="188.5" x14ac:dyDescent="0.35">
      <c r="A142" s="2" t="str">
        <f t="shared" si="32"/>
        <v>Sustain</v>
      </c>
      <c r="B142" s="5" t="s">
        <v>236</v>
      </c>
      <c r="C142" s="2" t="str">
        <f t="shared" si="37"/>
        <v>IT Talent &amp; Communications Management</v>
      </c>
      <c r="D142" s="3" t="s">
        <v>229</v>
      </c>
      <c r="E142" s="4" t="str">
        <f t="shared" si="35"/>
        <v>Learning &amp; Development:</v>
      </c>
      <c r="F142" s="4" t="s">
        <v>183</v>
      </c>
    </row>
    <row r="143" spans="1:6" ht="188.5" x14ac:dyDescent="0.35">
      <c r="A143" s="2" t="str">
        <f t="shared" si="32"/>
        <v>Sustain</v>
      </c>
      <c r="B143" s="5" t="s">
        <v>236</v>
      </c>
      <c r="C143" s="2" t="str">
        <f t="shared" si="37"/>
        <v>IT Talent &amp; Communications Management</v>
      </c>
      <c r="D143" s="3" t="s">
        <v>229</v>
      </c>
      <c r="E143" s="4" t="str">
        <f t="shared" si="35"/>
        <v>Talent Performance Management:</v>
      </c>
      <c r="F143" s="4" t="s">
        <v>184</v>
      </c>
    </row>
    <row r="144" spans="1:6" ht="188.5" x14ac:dyDescent="0.35">
      <c r="A144" s="2" t="str">
        <f t="shared" si="32"/>
        <v>Sustain</v>
      </c>
      <c r="B144" s="5" t="s">
        <v>236</v>
      </c>
      <c r="C144" s="2" t="str">
        <f t="shared" si="37"/>
        <v>IT Talent &amp; Communications Management</v>
      </c>
      <c r="D144" s="3" t="s">
        <v>229</v>
      </c>
      <c r="E144" s="4" t="str">
        <f t="shared" si="35"/>
        <v>Resource Management:</v>
      </c>
      <c r="F144" s="4" t="s">
        <v>185</v>
      </c>
    </row>
    <row r="145" spans="1:6" ht="188.5" x14ac:dyDescent="0.35">
      <c r="A145" s="2" t="str">
        <f t="shared" si="32"/>
        <v>Sustain</v>
      </c>
      <c r="B145" s="5" t="s">
        <v>236</v>
      </c>
      <c r="C145" s="2" t="str">
        <f t="shared" si="37"/>
        <v>IT Talent &amp; Communications Management</v>
      </c>
      <c r="D145" s="3" t="s">
        <v>229</v>
      </c>
      <c r="E145" s="4" t="str">
        <f t="shared" si="35"/>
        <v>Audience Analysis:</v>
      </c>
      <c r="F145" s="4" t="s">
        <v>186</v>
      </c>
    </row>
    <row r="146" spans="1:6" ht="188.5" x14ac:dyDescent="0.35">
      <c r="A146" s="2" t="str">
        <f t="shared" si="32"/>
        <v>Sustain</v>
      </c>
      <c r="B146" s="5" t="s">
        <v>236</v>
      </c>
      <c r="C146" s="2" t="str">
        <f t="shared" si="37"/>
        <v>IT Talent &amp; Communications Management</v>
      </c>
      <c r="D146" s="3" t="s">
        <v>229</v>
      </c>
      <c r="E146" s="4" t="str">
        <f t="shared" si="35"/>
        <v>Channel Analysis:</v>
      </c>
      <c r="F146" s="4" t="s">
        <v>187</v>
      </c>
    </row>
    <row r="147" spans="1:6" ht="188.5" x14ac:dyDescent="0.35">
      <c r="A147" s="2" t="str">
        <f t="shared" si="32"/>
        <v>Sustain</v>
      </c>
      <c r="B147" s="5" t="s">
        <v>236</v>
      </c>
      <c r="C147" s="2" t="str">
        <f t="shared" si="37"/>
        <v>IT Talent &amp; Communications Management</v>
      </c>
      <c r="D147" s="3" t="s">
        <v>229</v>
      </c>
      <c r="E147" s="4" t="str">
        <f t="shared" si="35"/>
        <v>Develop Communication Strategy:</v>
      </c>
      <c r="F147" s="4" t="s">
        <v>188</v>
      </c>
    </row>
    <row r="148" spans="1:6" ht="188.5" x14ac:dyDescent="0.35">
      <c r="A148" s="2" t="str">
        <f t="shared" si="32"/>
        <v>Sustain</v>
      </c>
      <c r="B148" s="5" t="s">
        <v>236</v>
      </c>
      <c r="C148" s="2" t="str">
        <f t="shared" si="37"/>
        <v>IT Talent &amp; Communications Management</v>
      </c>
      <c r="D148" s="3" t="s">
        <v>229</v>
      </c>
      <c r="E148" s="4" t="str">
        <f t="shared" si="35"/>
        <v>Execute &amp; Measurement:</v>
      </c>
      <c r="F148" s="4" t="s">
        <v>189</v>
      </c>
    </row>
    <row r="149" spans="1:6" ht="188.5" x14ac:dyDescent="0.35">
      <c r="A149" s="2" t="str">
        <f t="shared" si="32"/>
        <v>Sustain</v>
      </c>
      <c r="B149" s="5" t="s">
        <v>236</v>
      </c>
      <c r="C149" s="2" t="s">
        <v>190</v>
      </c>
      <c r="D149" s="3" t="s">
        <v>230</v>
      </c>
      <c r="E149" s="4" t="str">
        <f t="shared" si="35"/>
        <v>Planning &amp; Budgeting:</v>
      </c>
      <c r="F149" s="4" t="s">
        <v>191</v>
      </c>
    </row>
    <row r="150" spans="1:6" ht="188.5" x14ac:dyDescent="0.35">
      <c r="A150" s="2" t="str">
        <f t="shared" si="32"/>
        <v>Sustain</v>
      </c>
      <c r="B150" s="5" t="s">
        <v>236</v>
      </c>
      <c r="C150" s="2" t="str">
        <f t="shared" ref="C150:C151" si="38">C149</f>
        <v>IT Financial Management</v>
      </c>
      <c r="D150" s="3" t="s">
        <v>230</v>
      </c>
      <c r="E150" s="4" t="str">
        <f t="shared" si="35"/>
        <v>Reporting, Analytics &amp; Billing:</v>
      </c>
      <c r="F150" s="4" t="s">
        <v>192</v>
      </c>
    </row>
    <row r="151" spans="1:6" ht="188.5" x14ac:dyDescent="0.35">
      <c r="A151" s="2" t="str">
        <f t="shared" si="32"/>
        <v>Sustain</v>
      </c>
      <c r="B151" s="5" t="s">
        <v>236</v>
      </c>
      <c r="C151" s="2" t="str">
        <f t="shared" si="38"/>
        <v>IT Financial Management</v>
      </c>
      <c r="D151" s="3" t="s">
        <v>230</v>
      </c>
      <c r="E151" s="4" t="str">
        <f t="shared" si="35"/>
        <v>Business Value alignment:</v>
      </c>
      <c r="F151" s="4" t="s">
        <v>193</v>
      </c>
    </row>
  </sheetData>
  <autoFilter ref="A1:F151" xr:uid="{62FBBF2F-CFD3-4D37-8187-2885ADD0E106}"/>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Schmidt, Adam J</dc:creator>
  <cp:lastModifiedBy>Schmidt, Adam J</cp:lastModifiedBy>
  <dcterms:created xsi:type="dcterms:W3CDTF">2025-10-30T23:10:35Z</dcterms:created>
  <dcterms:modified xsi:type="dcterms:W3CDTF">2025-11-04T15:53:10Z</dcterms:modified>
</cp:coreProperties>
</file>